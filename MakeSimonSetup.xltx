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0" yWindow="0" windowWidth="16380" windowHeight="8190" tabRatio="500"/>
  </bookViews>
  <sheets>
    <sheet name="ReadMe" sheetId="1" r:id="rId1"/>
    <sheet name="MakeSimonSetup" sheetId="2" r:id="rId2"/>
  </sheets>
  <definedNames>
    <definedName name="_xlnm._FilterDatabase" localSheetId="1" hidden="1">MakeSimonSetup!$B$1:$M$2</definedName>
  </definedNames>
  <calcPr calcId="145621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S2" i="2" l="1"/>
  <c r="N2" i="2"/>
  <c r="L2" i="2"/>
  <c r="H2" i="2" s="1"/>
  <c r="G2" i="2"/>
  <c r="F2" i="2"/>
  <c r="U2" i="2" s="1"/>
  <c r="D2" i="2"/>
  <c r="C2" i="2"/>
  <c r="Q2" i="2"/>
  <c r="O2" i="2" l="1"/>
  <c r="E2" i="2"/>
  <c r="T2" i="2"/>
  <c r="P2" i="2"/>
</calcChain>
</file>

<file path=xl/sharedStrings.xml><?xml version="1.0" encoding="utf-8"?>
<sst xmlns="http://schemas.openxmlformats.org/spreadsheetml/2006/main" count="22" uniqueCount="20">
  <si>
    <t>Enter data in blue columns</t>
  </si>
  <si>
    <t>Update formula in cell E2 for Prescribed and Counter direction (eg =IF(L2="Westbound","P",IF(L2="Eastbound","C",IF(L2="Both Ways","B","Error"))))</t>
  </si>
  <si>
    <t>Filenames generated are compatible with the economic analysis spreadsheet macros using a Rod filename convention of base filename with a "_OT999" extension where 999 is option number</t>
  </si>
  <si>
    <t>Echo Run as %0 ^&gt;^&gt;%0.log to append to log file</t>
  </si>
  <si>
    <t>File</t>
  </si>
  <si>
    <t>No</t>
  </si>
  <si>
    <t>Start</t>
  </si>
  <si>
    <t>End</t>
  </si>
  <si>
    <t>Direction</t>
  </si>
  <si>
    <t>Filename</t>
  </si>
  <si>
    <t>Description</t>
  </si>
  <si>
    <t>Cost</t>
  </si>
  <si>
    <t>BCR</t>
  </si>
  <si>
    <t>Revised Cost</t>
  </si>
  <si>
    <t>Length (km)</t>
  </si>
  <si>
    <t>..\OptionEditor.py</t>
  </si>
  <si>
    <t>FilenameRoadSection</t>
  </si>
  <si>
    <t>Westbound</t>
  </si>
  <si>
    <t>Save used rows for columns A:H as space delimited file with .bat extension. (Hint: Copy selection into Notepad++, Replace /t with {space character}, save as MakeSimonSetup*.bat)</t>
  </si>
  <si>
    <t>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</si>
</sst>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_-\$* #,##0_-;&quot;-$&quot;* #,##0_-;_-\$* \-??_-;_-@_-"/>
  </numFmts>
  <fonts count="3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CC"/>
        <bgColor rgb="FFFFFFF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0" fontId="0" fillId="0" borderId="0" xfId="0" applyFont="1"/>
    <xf numFmtId="0" fontId="1" fillId="2" borderId="0" xfId="0" applyFont="1" applyFill="1"/>
    <xf numFmtId="0" fontId="1" fillId="3" borderId="0" xfId="0" applyFont="1" applyFill="1"/>
    <xf numFmtId="164" fontId="1" fillId="3" borderId="0" xfId="0" applyNumberFormat="1" applyFont="1" applyFill="1"/>
    <xf numFmtId="0" fontId="0" fillId="2" borderId="0" xfId="0" applyFill="1" applyBorder="1"/>
    <xf numFmtId="165" fontId="0" fillId="3" borderId="0" xfId="0" applyNumberFormat="1" applyFont="1" applyFill="1" applyBorder="1" applyAlignment="1" applyProtection="1"/>
    <xf numFmtId="2" fontId="0" fillId="3" borderId="0" xfId="0" applyNumberFormat="1" applyFill="1"/>
    <xf numFmtId="2" fontId="2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tabSelected="1" zoomScaleNormal="100" workbookViewId="0"/>
  </sheetViews>
  <sheetFormatPr defaultRowHeight="15" x14ac:dyDescent="0.25"/>
  <cols>
    <col min="1" max="1" width="4.7109375" style="1" customWidth="1"/>
    <col min="2" max="1025" width="8.7109375" customWidth="1"/>
  </cols>
  <sheetData>
    <row r="1" spans="1:2" x14ac:dyDescent="0.25">
      <c r="A1" s="1">
        <v>1</v>
      </c>
      <c r="B1" t="s">
        <v>0</v>
      </c>
    </row>
    <row r="2" spans="1:2" x14ac:dyDescent="0.25">
      <c r="A2" s="1">
        <v>2</v>
      </c>
      <c r="B2" t="s">
        <v>1</v>
      </c>
    </row>
    <row r="3" spans="1:2" x14ac:dyDescent="0.25">
      <c r="A3" s="1">
        <v>3</v>
      </c>
      <c r="B3" t="s">
        <v>2</v>
      </c>
    </row>
    <row r="4" spans="1:2" x14ac:dyDescent="0.25">
      <c r="A4" s="1">
        <v>4</v>
      </c>
      <c r="B4" t="s">
        <v>18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"/>
  <sheetViews>
    <sheetView zoomScaleNormal="100" workbookViewId="0"/>
  </sheetViews>
  <sheetFormatPr defaultRowHeight="15" x14ac:dyDescent="0.25"/>
  <cols>
    <col min="2" max="2" width="21.7109375" customWidth="1"/>
    <col min="3" max="3" width="31.28515625" customWidth="1"/>
    <col min="4" max="5" width="6" customWidth="1"/>
    <col min="6" max="6" width="2.140625" customWidth="1"/>
    <col min="7" max="7" width="38" customWidth="1"/>
    <col min="8" max="8" width="44.7109375" customWidth="1"/>
    <col min="9" max="9" width="24.85546875" style="2" customWidth="1"/>
    <col min="10" max="10" width="4" style="2" customWidth="1"/>
    <col min="11" max="12" width="6" style="2" customWidth="1"/>
    <col min="13" max="13" width="11.85546875" style="2" customWidth="1"/>
    <col min="14" max="14" width="23.7109375" style="3" customWidth="1"/>
    <col min="15" max="15" width="44.7109375" style="3" customWidth="1"/>
    <col min="16" max="17" width="5.85546875" style="3" customWidth="1"/>
    <col min="18" max="18" width="12.28515625" style="3" customWidth="1"/>
    <col min="19" max="19" width="4.42578125" style="3" customWidth="1"/>
    <col min="20" max="20" width="11.5703125" style="4" customWidth="1"/>
    <col min="21" max="21" width="9.140625" style="3" customWidth="1"/>
    <col min="22" max="1026" width="8.7109375" customWidth="1"/>
  </cols>
  <sheetData>
    <row r="1" spans="1:21" x14ac:dyDescent="0.25">
      <c r="A1" t="s">
        <v>3</v>
      </c>
      <c r="B1" s="5"/>
      <c r="C1" s="5"/>
      <c r="D1" s="5"/>
      <c r="E1" s="5"/>
      <c r="F1" s="5"/>
      <c r="G1" s="5"/>
      <c r="H1" s="5"/>
      <c r="I1" s="6" t="s">
        <v>4</v>
      </c>
      <c r="J1" s="6" t="s">
        <v>5</v>
      </c>
      <c r="K1" s="6" t="s">
        <v>6</v>
      </c>
      <c r="L1" s="6" t="s">
        <v>7</v>
      </c>
      <c r="M1" s="6" t="s">
        <v>8</v>
      </c>
      <c r="N1" s="7" t="s">
        <v>9</v>
      </c>
      <c r="O1" s="7" t="s">
        <v>10</v>
      </c>
      <c r="P1" s="7" t="s">
        <v>11</v>
      </c>
      <c r="Q1" s="7" t="s">
        <v>12</v>
      </c>
      <c r="R1" s="7" t="s">
        <v>13</v>
      </c>
      <c r="S1" s="7" t="s">
        <v>12</v>
      </c>
      <c r="T1" s="8" t="s">
        <v>14</v>
      </c>
      <c r="U1" s="7" t="s">
        <v>8</v>
      </c>
    </row>
    <row r="2" spans="1:21" x14ac:dyDescent="0.25">
      <c r="A2" t="s">
        <v>19</v>
      </c>
      <c r="B2" t="s">
        <v>15</v>
      </c>
      <c r="C2" t="str">
        <f>CHAR(34)&amp;I2&amp;".ROD"&amp;CHAR(34)</f>
        <v>"FilenameRoadSection.ROD"</v>
      </c>
      <c r="D2">
        <f>K2</f>
        <v>20</v>
      </c>
      <c r="E2">
        <f>L2</f>
        <v>21</v>
      </c>
      <c r="F2" t="str">
        <f>IF(M2="Westbound","P",IF(M2="Eastbound","C",IF(M2="Both Ways","B","Error")))</f>
        <v>P</v>
      </c>
      <c r="G2" t="str">
        <f>CHAR(34)&amp;I2&amp;"_OT"&amp;RIGHT("000"&amp;J2,3)&amp;".ROD"&amp;CHAR(34)</f>
        <v>"FilenameRoadSection_OT001.ROD"</v>
      </c>
      <c r="H2" t="str">
        <f>CHAR(34)&amp;"Overtaking Lane "&amp;J2&amp;": "&amp;K2&amp;"-"&amp;L2&amp;"km "&amp;M2&amp;CHAR(34)</f>
        <v>"Overtaking Lane 1: 20-21km Westbound"</v>
      </c>
      <c r="I2" s="2" t="s">
        <v>16</v>
      </c>
      <c r="J2" s="9">
        <v>1</v>
      </c>
      <c r="K2" s="9">
        <v>20</v>
      </c>
      <c r="L2" s="9">
        <f>K2+1</f>
        <v>21</v>
      </c>
      <c r="M2" s="2" t="s">
        <v>17</v>
      </c>
      <c r="N2" s="3" t="str">
        <f>I2&amp;"_OT"&amp;RIGHT("000"&amp;J2,3)</f>
        <v>FilenameRoadSection_OT001</v>
      </c>
      <c r="O2" s="3" t="str">
        <f>"Overtaking Lane "&amp;J2&amp;": "&amp;K2&amp;"-"&amp;L2&amp;"km "&amp;M2</f>
        <v>Overtaking Lane 1: 20-21km Westbound</v>
      </c>
      <c r="P2" s="10" t="e">
        <f ca="1">INDIRECT("'"&amp;RIGHT(N2,5)&amp;"'!"&amp;"B44")</f>
        <v>#REF!</v>
      </c>
      <c r="Q2" s="11" t="e">
        <f ca="1">INDIRECT("'"&amp;RIGHT(N2,5)&amp;"'!"&amp;"O128")</f>
        <v>#REF!</v>
      </c>
      <c r="R2" s="10"/>
      <c r="S2" s="12" t="str">
        <f>IF(R2&lt;&gt;"",Q2*P2/R2,"")</f>
        <v/>
      </c>
      <c r="T2" s="4">
        <f>L2-K2</f>
        <v>1</v>
      </c>
      <c r="U2" s="3" t="str">
        <f>F2</f>
        <v>P</v>
      </c>
    </row>
  </sheetData>
  <autoFilter ref="B1:M2"/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MakeSimonSetup</vt:lpstr>
    </vt:vector>
  </TitlesOfParts>
  <Company>TfNSW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IRONS Neale M</dc:creator>
  <cp:lastModifiedBy>IRONS Neale M</cp:lastModifiedBy>
  <cp:revision>0</cp:revision>
  <dcterms:created xsi:type="dcterms:W3CDTF">2018-06-21T22:15:38Z</dcterms:created>
  <dcterms:modified xsi:type="dcterms:W3CDTF">2018-06-24T22:05:27Z</dcterms:modified>
  <dc:language>en-AU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mpany">
    <vt:lpwstr>TfNSW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