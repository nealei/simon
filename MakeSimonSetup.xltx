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-15" yWindow="-15" windowWidth="25890" windowHeight="4830"/>
  </bookViews>
  <sheets>
    <sheet name="ReadMe" sheetId="2" r:id="rId1"/>
    <sheet name="MakeSimonSetup" sheetId="1" r:id="rId2"/>
  </sheets>
  <definedNames>
    <definedName name="_xlnm._FilterDatabase" localSheetId="1" hidden="1">MakeSimonSetup!$A$1:$L$2</definedName>
  </definedNames>
  <calcPr calcId="145621"/>
</workbook>
</file>

<file path=xl/calcChain.xml><?xml version="1.0" encoding="utf-8"?>
<calcChain xmlns="http://schemas.openxmlformats.org/spreadsheetml/2006/main">
  <c r="R2" i="1" l="1"/>
  <c r="F2" i="1" l="1"/>
  <c r="B2" i="1"/>
  <c r="E2" i="1" l="1"/>
  <c r="M2" i="1" l="1"/>
  <c r="O2" i="1"/>
  <c r="P2" i="1"/>
  <c r="T2" i="1" l="1"/>
  <c r="C2" i="1" l="1"/>
  <c r="K2" i="1"/>
  <c r="N2" i="1" l="1"/>
  <c r="G2" i="1"/>
  <c r="D2" i="1"/>
  <c r="S2" i="1"/>
</calcChain>
</file>

<file path=xl/sharedStrings.xml><?xml version="1.0" encoding="utf-8"?>
<sst xmlns="http://schemas.openxmlformats.org/spreadsheetml/2006/main" count="21" uniqueCount="19">
  <si>
    <t>..\OptionEditor.py</t>
  </si>
  <si>
    <t>Echo Run as %0 ^&gt;^&gt;%0.log to append to log file</t>
  </si>
  <si>
    <t>No</t>
  </si>
  <si>
    <t>Start</t>
  </si>
  <si>
    <t>End</t>
  </si>
  <si>
    <t>Direction</t>
  </si>
  <si>
    <t>File</t>
  </si>
  <si>
    <t>Filename</t>
  </si>
  <si>
    <t>Description</t>
  </si>
  <si>
    <t>Cost</t>
  </si>
  <si>
    <t>BCR</t>
  </si>
  <si>
    <t>Revised Cost</t>
  </si>
  <si>
    <t>Length (km)</t>
  </si>
  <si>
    <t>Westbound</t>
  </si>
  <si>
    <t>Enter data in blue columns</t>
  </si>
  <si>
    <t>Update formula in cell E2 for Prescribed and Counter direction (eg =IF(L2="Westbound","P",IF(L2="Eastbound","C",IF(L2="Both Ways","B","Error"))))</t>
  </si>
  <si>
    <t>Filenames generated are compatible with the economic analysis spreadsheet macros using a Rod filename convention of base filename with a "_OT999" extension where 999 is option number</t>
  </si>
  <si>
    <t>Save used rows for columns A:G as space delimited file with .bat extension. (Hint: Copy selection into Notepad++, Replace /t with {space character}, save as MakeSimonSetup*.bat)</t>
  </si>
  <si>
    <t>FilenameRoadSection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</si>
</sst>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-&quot;$&quot;* #,##0.00_-;\-&quot;$&quot;* #,##0.00_-;_-&quot;$&quot;* &quot;-&quot;??_-;_-@_-"/>
    <numFmt numFmtId="164" formatCode="0.0"/>
    <numFmt numFmtId="165" formatCode="_-&quot;$&quot;* #,##0_-;\-&quot;$&quot;* #,##0_-;_-&quot;$&quot;* &quot;-&quot;??_-;_-@_-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</fills>
  <borders count="1">
    <border>
      <left/>
      <right/>
      <top/>
      <bottom/>
      <diagonal/>
    </border>
  </borders>
  <cellStyleXfs count="7">
    <xf numFmtId="0" fontId="0" fillId="0" borderId="0"/>
    <xf numFmtId="0" fontId="2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</cellStyleXfs>
  <cellXfs count="12">
    <xf numFmtId="0" fontId="0" fillId="0" borderId="0" xfId="0"/>
    <xf numFmtId="0" fontId="1" fillId="2" borderId="0" xfId="0" applyFont="1" applyFill="1"/>
    <xf numFmtId="164" fontId="1" fillId="2" borderId="0" xfId="0" applyNumberFormat="1" applyFont="1" applyFill="1"/>
    <xf numFmtId="0" fontId="0" fillId="2" borderId="0" xfId="0" applyFill="1"/>
    <xf numFmtId="164" fontId="0" fillId="2" borderId="0" xfId="0" applyNumberFormat="1" applyFill="1"/>
    <xf numFmtId="0" fontId="1" fillId="3" borderId="0" xfId="0" applyFont="1" applyFill="1"/>
    <xf numFmtId="0" fontId="0" fillId="3" borderId="0" xfId="0" applyFill="1"/>
    <xf numFmtId="0" fontId="0" fillId="3" borderId="0" xfId="0" applyFill="1" applyBorder="1"/>
    <xf numFmtId="165" fontId="0" fillId="2" borderId="0" xfId="4" applyNumberFormat="1" applyFont="1" applyFill="1"/>
    <xf numFmtId="2" fontId="0" fillId="2" borderId="0" xfId="0" applyNumberFormat="1" applyFill="1"/>
    <xf numFmtId="2" fontId="3" fillId="2" borderId="0" xfId="0" applyNumberFormat="1" applyFont="1" applyFill="1"/>
    <xf numFmtId="0" fontId="1" fillId="0" borderId="0" xfId="0" applyFont="1"/>
  </cellXfs>
  <cellStyles count="7">
    <cellStyle name="Currency 2" xfId="4"/>
    <cellStyle name="Currency 3" xfId="2"/>
    <cellStyle name="Normal" xfId="0" builtinId="0"/>
    <cellStyle name="Normal 2" xfId="6"/>
    <cellStyle name="Normal 3" xfId="1"/>
    <cellStyle name="Percent 2" xfId="5"/>
    <cellStyle name="Percent 3" xfId="3"/>
  </cellStyles>
  <dxfs count="0"/>
  <tableStyles count="0" defaultTableStyle="TableStyleMedium2" defaultPivotStyle="PivotStyleLight16"/>
  <colors>
    <mruColors>
      <color rgb="FFFFFF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4"/>
  <sheetViews>
    <sheetView tabSelected="1" workbookViewId="0"/>
  </sheetViews>
  <sheetFormatPr defaultRowHeight="15" x14ac:dyDescent="0.25"/>
  <cols>
    <col min="1" max="1" width="4.7109375" style="11" customWidth="1"/>
  </cols>
  <sheetData>
    <row r="1" spans="1:2" x14ac:dyDescent="0.25">
      <c r="A1" s="11">
        <v>1</v>
      </c>
      <c r="B1" t="s">
        <v>14</v>
      </c>
    </row>
    <row r="2" spans="1:2" x14ac:dyDescent="0.25">
      <c r="A2" s="11">
        <v>2</v>
      </c>
      <c r="B2" t="s">
        <v>15</v>
      </c>
    </row>
    <row r="3" spans="1:2" x14ac:dyDescent="0.25">
      <c r="A3" s="11">
        <v>3</v>
      </c>
      <c r="B3" t="s">
        <v>16</v>
      </c>
    </row>
    <row r="4" spans="1:2" x14ac:dyDescent="0.25">
      <c r="A4" s="11">
        <v>4</v>
      </c>
      <c r="B4" t="s">
        <v>17</v>
      </c>
    </row>
  </sheetData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6"/>
  <sheetViews>
    <sheetView workbookViewId="0"/>
  </sheetViews>
  <sheetFormatPr defaultRowHeight="15" x14ac:dyDescent="0.25"/>
  <cols>
    <col min="1" max="1" width="21.7109375" customWidth="1"/>
    <col min="2" max="2" width="31.28515625" bestFit="1" customWidth="1"/>
    <col min="3" max="4" width="6" bestFit="1" customWidth="1"/>
    <col min="5" max="5" width="2.140625" bestFit="1" customWidth="1"/>
    <col min="6" max="6" width="38" bestFit="1" customWidth="1"/>
    <col min="7" max="7" width="44.7109375" bestFit="1" customWidth="1"/>
    <col min="8" max="8" width="24.85546875" style="6" bestFit="1" customWidth="1"/>
    <col min="9" max="9" width="4" style="6" bestFit="1" customWidth="1"/>
    <col min="10" max="11" width="6" style="6" bestFit="1" customWidth="1"/>
    <col min="12" max="12" width="11.85546875" style="6" bestFit="1" customWidth="1"/>
    <col min="13" max="13" width="23.7109375" style="3" bestFit="1" customWidth="1"/>
    <col min="14" max="14" width="44.7109375" style="3" bestFit="1" customWidth="1"/>
    <col min="15" max="16" width="5.85546875" style="3" bestFit="1" customWidth="1"/>
    <col min="17" max="17" width="12.28515625" style="3" bestFit="1" customWidth="1"/>
    <col min="18" max="18" width="4.42578125" style="3" bestFit="1" customWidth="1"/>
    <col min="19" max="19" width="11.5703125" style="4" bestFit="1" customWidth="1"/>
    <col min="20" max="20" width="9.140625" style="3"/>
  </cols>
  <sheetData>
    <row r="1" spans="1:20" x14ac:dyDescent="0.25">
      <c r="A1" t="s">
        <v>1</v>
      </c>
      <c r="H1" s="5" t="s">
        <v>6</v>
      </c>
      <c r="I1" s="5" t="s">
        <v>2</v>
      </c>
      <c r="J1" s="5" t="s">
        <v>3</v>
      </c>
      <c r="K1" s="5" t="s">
        <v>4</v>
      </c>
      <c r="L1" s="5" t="s">
        <v>5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10</v>
      </c>
      <c r="S1" s="2" t="s">
        <v>12</v>
      </c>
      <c r="T1" s="1" t="s">
        <v>5</v>
      </c>
    </row>
    <row r="2" spans="1:20" x14ac:dyDescent="0.25">
      <c r="A2" t="s">
        <v>0</v>
      </c>
      <c r="B2" t="str">
        <f t="shared" ref="B2" si="0">CHAR(34)&amp;H2&amp;".ROD"&amp;CHAR(34)</f>
        <v>"FilenameRoadSection.ROD"</v>
      </c>
      <c r="C2">
        <f t="shared" ref="C2" si="1">J2</f>
        <v>20</v>
      </c>
      <c r="D2">
        <f t="shared" ref="D2" si="2">K2</f>
        <v>21</v>
      </c>
      <c r="E2" t="str">
        <f>IF(L2="Westbound","P",IF(L2="Eastbound","C",IF(L2="Both Ways","B","Error")))</f>
        <v>P</v>
      </c>
      <c r="F2" t="str">
        <f t="shared" ref="F2" si="3">CHAR(34)&amp;H2&amp;"_OT"&amp;RIGHT("000"&amp;I2,3)&amp;".ROD"&amp;CHAR(34)</f>
        <v>"FilenameRoadSection_OT001.ROD"</v>
      </c>
      <c r="G2" t="str">
        <f>CHAR(34)&amp;"Overtaking Lane "&amp;I2&amp;": "&amp;J2&amp;"-"&amp;K2&amp;"km "&amp;L2&amp;CHAR(34)</f>
        <v>"Overtaking Lane 1: 20-21km Westbound"</v>
      </c>
      <c r="H2" s="6" t="s">
        <v>18</v>
      </c>
      <c r="I2" s="7">
        <v>1</v>
      </c>
      <c r="J2" s="7">
        <v>20</v>
      </c>
      <c r="K2" s="7">
        <f t="shared" ref="K2" si="4">J2+1</f>
        <v>21</v>
      </c>
      <c r="L2" s="6" t="s">
        <v>13</v>
      </c>
      <c r="M2" s="3" t="str">
        <f>H2&amp;"_OT"&amp;RIGHT("000"&amp;I2,3)</f>
        <v>FilenameRoadSection_OT001</v>
      </c>
      <c r="N2" s="3" t="str">
        <f>"Overtaking Lane "&amp;I2&amp;": "&amp;J2&amp;"-"&amp;K2&amp;"km "&amp;L2</f>
        <v>Overtaking Lane 1: 20-21km Westbound</v>
      </c>
      <c r="O2" s="8" t="e">
        <f ca="1">INDIRECT("'"&amp;RIGHT(M2,5)&amp;"'!"&amp;"B44")</f>
        <v>#REF!</v>
      </c>
      <c r="P2" s="9" t="e">
        <f ca="1">INDIRECT("'"&amp;RIGHT(M2,5)&amp;"'!"&amp;"O128")</f>
        <v>#REF!</v>
      </c>
      <c r="Q2" s="8"/>
      <c r="R2" s="10" t="str">
        <f>IF(Q2&lt;&gt;"",P2*O2/Q2,"")</f>
        <v/>
      </c>
      <c r="S2" s="4">
        <f>K2-J2</f>
        <v>1</v>
      </c>
      <c r="T2" s="3" t="str">
        <f>E2</f>
        <v>P</v>
      </c>
    </row>
    <row r="3" spans="1:20" x14ac:dyDescent="0.25">
      <c r="I3" s="7"/>
    </row>
    <row r="4" spans="1:20" x14ac:dyDescent="0.25">
      <c r="I4" s="7"/>
    </row>
    <row r="5" spans="1:20" x14ac:dyDescent="0.25">
      <c r="I5" s="7"/>
    </row>
    <row r="6" spans="1:20" x14ac:dyDescent="0.25">
      <c r="I6" s="7"/>
    </row>
  </sheetData>
  <autoFilter ref="A1:L2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ReadMe</vt:lpstr>
      <vt:lpstr>MakeSimonSetup</vt:lpstr>
    </vt:vector>
  </TitlesOfParts>
  <Company>TfNSW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IRONS Neale M</dc:creator>
  <cp:lastModifiedBy>IRONS Neale M</cp:lastModifiedBy>
  <dcterms:created xsi:type="dcterms:W3CDTF">2018-03-27T06:31:58Z</dcterms:created>
  <dcterms:modified xsi:type="dcterms:W3CDTF">2018-05-23T05:39:18Z</dcterms:modified>
</cp:coreProperties>
</file>