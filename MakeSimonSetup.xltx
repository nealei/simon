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ReadMe" sheetId="1" state="visible" r:id="rId2"/>
    <sheet name="MakeSimonSetup" sheetId="2" state="visible" r:id="rId3"/>
  </sheets>
  <definedNames>
    <definedName function="false" hidden="true" localSheetId="1" name="_xlnm._FilterDatabase" vbProcedure="false">MakeSimonSetup!$B$1:$M$2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<sst xmlns="http://schemas.openxmlformats.org/spreadsheetml/2006/main" count="22" uniqueCount="20">
  <si>
    <t xml:space="preserve">Enter data in blue columns</t>
  </si>
  <si>
    <t xml:space="preserve">Update formula in cell E2 for Prescribed and Counter direction (eg =IF(L2="Westbound","P",IF(L2="Eastbound","C",IF(L2="Both Ways","B","Error"))))</t>
  </si>
  <si>
    <t xml:space="preserve">Filenames generated are compatible with the economic analysis spreadsheet macros using a Rod filename convention of base filename with a "_OT999" extension where 999 is option number</t>
  </si>
  <si>
    <t xml:space="preserve">Save used rows for columns A:H as space delimited file with .bat extension. (Hint: Copy selection into Notepad++, Replace /t with {space character}, save as MakeSimonSetup*.bat)</t>
  </si>
  <si>
    <t xml:space="preserve">Echo Run as %0 ^&gt;^&gt;%0.log to append to log file</t>
  </si>
  <si>
    <t xml:space="preserve">File</t>
  </si>
  <si>
    <t xml:space="preserve">No</t>
  </si>
  <si>
    <t xml:space="preserve">Start</t>
  </si>
  <si>
    <t xml:space="preserve">End</t>
  </si>
  <si>
    <t xml:space="preserve">Direction</t>
  </si>
  <si>
    <t xml:space="preserve">Filename</t>
  </si>
  <si>
    <t xml:space="preserve">Description</t>
  </si>
  <si>
    <t xml:space="preserve">Cost</t>
  </si>
  <si>
    <t xml:space="preserve">BCR</t>
  </si>
  <si>
    <t xml:space="preserve">Revised Cost</t>
  </si>
  <si>
    <t xml:space="preserve">Length (km)</t>
  </si>
  <si>
    <t xml:space="preserve">python</t>
  </si>
  <si>
    <t xml:space="preserve">..\option_editor.py</t>
  </si>
  <si>
    <t xml:space="preserve">FilenameRoadSection</t>
  </si>
  <si>
    <t xml:space="preserve">Westbound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</si>
</sst>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"/>
    <numFmt numFmtId="166" formatCode="_-\$* #,##0_-;&quot;-$&quot;* #,##0_-;_-\$* \-??_-;_-@_-"/>
    <numFmt numFmtId="167" formatCode="0.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CC"/>
        <bgColor rgb="FFFFFFFF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1" width="4.71"/>
    <col collapsed="false" customWidth="true" hidden="false" outlineLevel="0" max="1025" min="2" style="0" width="8.71"/>
  </cols>
  <sheetData>
    <row r="1" customFormat="false" ht="15" hidden="false" customHeight="false" outlineLevel="0" collapsed="false">
      <c r="A1" s="1" t="n">
        <v>1</v>
      </c>
      <c r="B1" s="0" t="s">
        <v>0</v>
      </c>
    </row>
    <row r="2" customFormat="false" ht="15" hidden="false" customHeight="false" outlineLevel="0" collapsed="false">
      <c r="A2" s="1" t="n">
        <v>2</v>
      </c>
      <c r="B2" s="0" t="s">
        <v>1</v>
      </c>
    </row>
    <row r="3" customFormat="false" ht="15" hidden="false" customHeight="false" outlineLevel="0" collapsed="false">
      <c r="A3" s="1" t="n">
        <v>3</v>
      </c>
      <c r="B3" s="0" t="s">
        <v>2</v>
      </c>
    </row>
    <row r="4" customFormat="false" ht="15" hidden="false" customHeight="false" outlineLevel="0" collapsed="false">
      <c r="A4" s="1" t="n">
        <v>4</v>
      </c>
      <c r="B4" s="0" t="s">
        <v>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U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21.71"/>
    <col collapsed="false" customWidth="true" hidden="false" outlineLevel="0" max="3" min="3" style="0" width="31.28"/>
    <col collapsed="false" customWidth="true" hidden="false" outlineLevel="0" max="5" min="4" style="0" width="6.01"/>
    <col collapsed="false" customWidth="true" hidden="false" outlineLevel="0" max="6" min="6" style="0" width="2.14"/>
    <col collapsed="false" customWidth="true" hidden="false" outlineLevel="0" max="7" min="7" style="0" width="37.99"/>
    <col collapsed="false" customWidth="true" hidden="false" outlineLevel="0" max="8" min="8" style="0" width="44.71"/>
    <col collapsed="false" customWidth="true" hidden="false" outlineLevel="0" max="9" min="9" style="2" width="24.86"/>
    <col collapsed="false" customWidth="true" hidden="false" outlineLevel="0" max="10" min="10" style="2" width="3.99"/>
    <col collapsed="false" customWidth="true" hidden="false" outlineLevel="0" max="12" min="11" style="2" width="6.01"/>
    <col collapsed="false" customWidth="true" hidden="false" outlineLevel="0" max="13" min="13" style="2" width="11.86"/>
    <col collapsed="false" customWidth="true" hidden="false" outlineLevel="0" max="14" min="14" style="3" width="23.71"/>
    <col collapsed="false" customWidth="true" hidden="false" outlineLevel="0" max="15" min="15" style="3" width="44.71"/>
    <col collapsed="false" customWidth="true" hidden="false" outlineLevel="0" max="17" min="16" style="3" width="5.86"/>
    <col collapsed="false" customWidth="true" hidden="false" outlineLevel="0" max="18" min="18" style="3" width="12.29"/>
    <col collapsed="false" customWidth="true" hidden="false" outlineLevel="0" max="19" min="19" style="3" width="4.43"/>
    <col collapsed="false" customWidth="true" hidden="false" outlineLevel="0" max="20" min="20" style="4" width="11.57"/>
    <col collapsed="false" customWidth="true" hidden="false" outlineLevel="0" max="21" min="21" style="3" width="9.14"/>
    <col collapsed="false" customWidth="true" hidden="false" outlineLevel="0" max="1025" min="22" style="0" width="8.71"/>
  </cols>
  <sheetData>
    <row r="1" customFormat="false" ht="15" hidden="false" customHeight="false" outlineLevel="0" collapsed="false">
      <c r="A1" s="0" t="s">
        <v>4</v>
      </c>
      <c r="B1" s="5"/>
      <c r="C1" s="5"/>
      <c r="D1" s="5"/>
      <c r="E1" s="5"/>
      <c r="F1" s="5"/>
      <c r="G1" s="5"/>
      <c r="H1" s="5"/>
      <c r="I1" s="6" t="s">
        <v>5</v>
      </c>
      <c r="J1" s="6" t="s">
        <v>6</v>
      </c>
      <c r="K1" s="6" t="s">
        <v>7</v>
      </c>
      <c r="L1" s="6" t="s">
        <v>8</v>
      </c>
      <c r="M1" s="6" t="s">
        <v>9</v>
      </c>
      <c r="N1" s="7" t="s">
        <v>10</v>
      </c>
      <c r="O1" s="7" t="s">
        <v>11</v>
      </c>
      <c r="P1" s="7" t="s">
        <v>12</v>
      </c>
      <c r="Q1" s="7" t="s">
        <v>13</v>
      </c>
      <c r="R1" s="7" t="s">
        <v>14</v>
      </c>
      <c r="S1" s="7" t="s">
        <v>13</v>
      </c>
      <c r="T1" s="8" t="s">
        <v>15</v>
      </c>
      <c r="U1" s="7" t="s">
        <v>9</v>
      </c>
    </row>
    <row r="2" customFormat="false" ht="15" hidden="false" customHeight="false" outlineLevel="0" collapsed="false">
      <c r="A2" s="0" t="s">
        <v>16</v>
      </c>
      <c r="B2" s="0" t="s">
        <v>17</v>
      </c>
      <c r="C2" s="0" t="str">
        <f aca="false">CHAR(34)&amp;I2&amp;".ROD"&amp;CHAR(34)</f>
        <v>"FilenameRoadSection.ROD"</v>
      </c>
      <c r="D2" s="0" t="n">
        <f aca="false">K2</f>
        <v>20</v>
      </c>
      <c r="E2" s="0" t="n">
        <f aca="false">L2</f>
        <v>21</v>
      </c>
      <c r="F2" s="0" t="str">
        <f aca="false">IF(M2="Westbound","P",IF(M2="Eastbound","C",IF(M2="Both Ways","B","Error")))</f>
        <v>P</v>
      </c>
      <c r="G2" s="0" t="str">
        <f aca="false">CHAR(34)&amp;I2&amp;"_OT"&amp;RIGHT("000"&amp;J2,3)&amp;".ROD"&amp;CHAR(34)</f>
        <v>"FilenameRoadSection_OT001.ROD"</v>
      </c>
      <c r="H2" s="0" t="str">
        <f aca="false">CHAR(34)&amp;"Overtaking Lane "&amp;J2&amp;": "&amp;K2&amp;"-"&amp;L2&amp;"km "&amp;M2&amp;CHAR(34)</f>
        <v>"Overtaking Lane 1: 20-21km Westbound"</v>
      </c>
      <c r="I2" s="2" t="s">
        <v>18</v>
      </c>
      <c r="J2" s="9" t="n">
        <v>1</v>
      </c>
      <c r="K2" s="9" t="n">
        <v>20</v>
      </c>
      <c r="L2" s="9" t="n">
        <f aca="false">K2+1</f>
        <v>21</v>
      </c>
      <c r="M2" s="2" t="s">
        <v>19</v>
      </c>
      <c r="N2" s="3" t="str">
        <f aca="false">I2&amp;"_OT"&amp;RIGHT("000"&amp;J2,3)</f>
        <v>FilenameRoadSection_OT001</v>
      </c>
      <c r="O2" s="3" t="str">
        <f aca="false">"Overtaking Lane "&amp;J2&amp;": "&amp;K2&amp;"-"&amp;L2&amp;"km "&amp;M2</f>
        <v>Overtaking Lane 1: 20-21km Westbound</v>
      </c>
      <c r="P2" s="10" t="e">
        <f aca="true">INDIRECT("'"&amp;RIGHT(N2,5)&amp;"'!"&amp;"B44")</f>
        <v>#REF!</v>
      </c>
      <c r="Q2" s="11" t="e">
        <f aca="true">INDIRECT("'"&amp;RIGHT(N2,5)&amp;"'!"&amp;"O128")</f>
        <v>#REF!</v>
      </c>
      <c r="R2" s="10"/>
      <c r="S2" s="12" t="str">
        <f aca="false">IF(R2&lt;&gt;"",Q2*P2/R2,"")</f>
        <v/>
      </c>
      <c r="T2" s="4" t="n">
        <f aca="false">L2-K2</f>
        <v>1</v>
      </c>
      <c r="U2" s="3" t="str">
        <f aca="false">F2</f>
        <v>P</v>
      </c>
    </row>
  </sheetData>
  <autoFilter ref="B1:M2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LibreOffice/6.0.4.2$Windows_X86_64 LibreOffice_project/9b0d9b32d5dcda91d2f1a96dc04c645c450872bf</Application>
  <Company>TfNSW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2018-07-01T21:28:09Z</dcterms:created>
  <dc:creator/>
  <dc:description/>
  <dc:language>en-AU</dc:language>
  <cp:lastModifiedBy/>
  <dcterms:modified xsi:type="dcterms:W3CDTF">2018-07-01T21:31:36Z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TfNSW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