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0" windowWidth="16380" windowHeight="8190" tabRatio="500"/>
  </bookViews>
  <sheets>
    <sheet name="ReadMe" sheetId="1" r:id="rId1"/>
    <sheet name="TRFsetup" sheetId="2" r:id="rId2"/>
    <sheet name="TRFdata" sheetId="3" r:id="rId3"/>
    <sheet name="DIR1count" sheetId="4" r:id="rId4"/>
    <sheet name="DIR2count" sheetId="5" r:id="rId5"/>
    <sheet name="Trarr TSE" sheetId="6" r:id="rId6"/>
  </sheets>
  <externalReferences>
    <externalReference r:id="rId7"/>
  </externalReferences>
  <definedNames>
    <definedName name="_LN1">[1]LLHwsht!$D$5</definedName>
    <definedName name="_LN2">[1]LLHwsht!$AD$5</definedName>
    <definedName name="_LN3">[1]LLHwsht!$BD$5</definedName>
    <definedName name="_LN4">[1]LLHwsht!$CD$5</definedName>
    <definedName name="_LN5">[1]LLHwsht!$DD$5</definedName>
    <definedName name="_LN6">[1]LLHwsht!$ED$5</definedName>
    <definedName name="_LN7">[1]LLHwsht!$FD$5</definedName>
    <definedName name="_LN8">[1]LLHwsht!$GD$5</definedName>
    <definedName name="_LN9">[1]LLHwsht!$HD$5</definedName>
    <definedName name="_RN1">[1]RODwsht!$E$2</definedName>
    <definedName name="_RN10">[1]RODwsht!$GL$2</definedName>
    <definedName name="_RN11">[1]RODwsht!$HG$2</definedName>
    <definedName name="_RN12">[1]RODwsht!$IB$2</definedName>
    <definedName name="_RN2">[1]RODwsht!$Z$2</definedName>
    <definedName name="_RN3">[1]RODwsht!$AU$2</definedName>
    <definedName name="_RN4">[1]RODwsht!$BP$2</definedName>
    <definedName name="_RN5">[1]RODwsht!$CK$2</definedName>
    <definedName name="_RN6">[1]RODwsht!$DF$2</definedName>
    <definedName name="_RN7">[1]RODwsht!$EA$2</definedName>
    <definedName name="_RN8">[1]RODwsht!$EV$2</definedName>
    <definedName name="_RN9">[1]RODwsht!$FQ$2</definedName>
    <definedName name="_TN1">#REF!</definedName>
    <definedName name="_TN10">#REF!</definedName>
    <definedName name="_TN11">#REF!</definedName>
    <definedName name="_TN12">#REF!</definedName>
    <definedName name="_TN13">#REF!</definedName>
    <definedName name="_TN14">#REF!</definedName>
    <definedName name="_TN15">#REF!</definedName>
    <definedName name="_TN16">#REF!</definedName>
    <definedName name="_TN17">#REF!</definedName>
    <definedName name="_TN18">#REF!</definedName>
    <definedName name="_TN19">#REF!</definedName>
    <definedName name="_TN2">#REF!</definedName>
    <definedName name="_TN20">#REF!</definedName>
    <definedName name="_TN21">#REF!</definedName>
    <definedName name="_TN22">#REF!</definedName>
    <definedName name="_TN23">#REF!</definedName>
    <definedName name="_TN24">#REF!</definedName>
    <definedName name="_TN25">#REF!</definedName>
    <definedName name="_TN26">#REF!</definedName>
    <definedName name="_TN27">#REF!</definedName>
    <definedName name="_TN28">#REF!</definedName>
    <definedName name="_TN29">#REF!</definedName>
    <definedName name="_TN3">#REF!</definedName>
    <definedName name="_TN30">#REF!</definedName>
    <definedName name="_TN31">#REF!</definedName>
    <definedName name="_TN32">#REF!</definedName>
    <definedName name="_TN33">#REF!</definedName>
    <definedName name="_TN34">#REF!</definedName>
    <definedName name="_TN35">#REF!</definedName>
    <definedName name="_TN36">#REF!</definedName>
    <definedName name="_TN4">#REF!</definedName>
    <definedName name="_TN5">#REF!</definedName>
    <definedName name="_TN6">#REF!</definedName>
    <definedName name="_TN7">#REF!</definedName>
    <definedName name="_TN8">#REF!</definedName>
    <definedName name="_TN9">#REF!</definedName>
    <definedName name="_TS1">#REF!</definedName>
    <definedName name="_TS10">#REF!</definedName>
    <definedName name="_TS11">#REF!</definedName>
    <definedName name="_TS12">#REF!</definedName>
    <definedName name="_TS13">#REF!</definedName>
    <definedName name="_TS14">#REF!</definedName>
    <definedName name="_TS15">#REF!</definedName>
    <definedName name="_TS16">#REF!</definedName>
    <definedName name="_TS17">#REF!</definedName>
    <definedName name="_TS18">#REF!</definedName>
    <definedName name="_TS19">#REF!</definedName>
    <definedName name="_TS2">#REF!</definedName>
    <definedName name="_TS20">#REF!</definedName>
    <definedName name="_TS21">#REF!</definedName>
    <definedName name="_TS22">#REF!</definedName>
    <definedName name="_TS23">#REF!</definedName>
    <definedName name="_TS24">#REF!</definedName>
    <definedName name="_TS25">#REF!</definedName>
    <definedName name="_TS26">#REF!</definedName>
    <definedName name="_TS27">#REF!</definedName>
    <definedName name="_TS28">#REF!</definedName>
    <definedName name="_TS29">#REF!</definedName>
    <definedName name="_TS3">#REF!</definedName>
    <definedName name="_TS30">#REF!</definedName>
    <definedName name="_TS31">#REF!</definedName>
    <definedName name="_TS32">#REF!</definedName>
    <definedName name="_TS33">#REF!</definedName>
    <definedName name="_TS34">#REF!</definedName>
    <definedName name="_TS35">#REF!</definedName>
    <definedName name="_TS36">#REF!</definedName>
    <definedName name="_TS4">#REF!</definedName>
    <definedName name="_TS5">#REF!</definedName>
    <definedName name="_TS6">#REF!</definedName>
    <definedName name="_TS7">#REF!</definedName>
    <definedName name="_TS8">#REF!</definedName>
    <definedName name="_TS9">#REF!</definedName>
    <definedName name="ClassTimeDir1" localSheetId="3">DIR1count!$C$14:$P$38</definedName>
    <definedName name="HourClass" localSheetId="3">DIR1count!$C$14</definedName>
    <definedName name="nrec1">[1]LLHwsht!$H$5</definedName>
    <definedName name="nrec2">[1]LLHwsht!$AH$5</definedName>
    <definedName name="nrec4">[1]LLHwsht!$CH$5</definedName>
    <definedName name="nrec5">[1]LLHwsht!$DH$5</definedName>
    <definedName name="nrec6">[1]LLHwsht!$EH$5</definedName>
    <definedName name="nrec7">[1]LLHwsht!$FH$5</definedName>
    <definedName name="nrec8">[1]LLHwsht!$GH$5</definedName>
    <definedName name="nrec9">[1]LLHwsht!$HH$5</definedName>
    <definedName name="rBAR1">#REF!</definedName>
    <definedName name="rBAR2">#REF!</definedName>
    <definedName name="rOTL1">#REF!</definedName>
    <definedName name="rOTL2">#REF!</definedName>
    <definedName name="rRdEndCh">#REF!</definedName>
    <definedName name="rRdLength">#REF!</definedName>
    <definedName name="rRdName">#REF!</definedName>
    <definedName name="rRdStartCh">#REF!</definedName>
    <definedName name="rSPL">#REF!</definedName>
  </definedNames>
  <calcPr calcId="145621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5" i="6" l="1"/>
  <c r="B13" i="6"/>
  <c r="B11" i="6"/>
  <c r="B10" i="6"/>
  <c r="A6" i="6"/>
  <c r="B17" i="6" s="1"/>
  <c r="A74" i="3"/>
  <c r="A73" i="3"/>
  <c r="A72" i="3"/>
  <c r="A71" i="3"/>
  <c r="A70" i="3"/>
  <c r="A69" i="3"/>
  <c r="A64" i="3"/>
  <c r="A63" i="3"/>
  <c r="A62" i="3"/>
  <c r="A61" i="3"/>
  <c r="A60" i="3"/>
  <c r="A59" i="3"/>
  <c r="A58" i="3"/>
  <c r="N46" i="3"/>
  <c r="M46" i="3"/>
  <c r="L46" i="3"/>
  <c r="K46" i="3"/>
  <c r="J46" i="3"/>
  <c r="I46" i="3"/>
  <c r="H46" i="3"/>
  <c r="G46" i="3"/>
  <c r="F46" i="3"/>
  <c r="E46" i="3"/>
  <c r="D46" i="3"/>
  <c r="C46" i="3"/>
  <c r="N44" i="3"/>
  <c r="M44" i="3"/>
  <c r="L44" i="3"/>
  <c r="K44" i="3"/>
  <c r="J44" i="3"/>
  <c r="I44" i="3"/>
  <c r="H44" i="3"/>
  <c r="G44" i="3"/>
  <c r="F44" i="3"/>
  <c r="E44" i="3"/>
  <c r="D44" i="3"/>
  <c r="C44" i="3"/>
  <c r="N43" i="3"/>
  <c r="M43" i="3"/>
  <c r="L43" i="3"/>
  <c r="K43" i="3"/>
  <c r="J43" i="3"/>
  <c r="I43" i="3"/>
  <c r="H43" i="3"/>
  <c r="G43" i="3"/>
  <c r="F43" i="3"/>
  <c r="E43" i="3"/>
  <c r="D43" i="3"/>
  <c r="C43" i="3"/>
  <c r="N42" i="3"/>
  <c r="M42" i="3"/>
  <c r="L42" i="3"/>
  <c r="K42" i="3"/>
  <c r="J42" i="3"/>
  <c r="I42" i="3"/>
  <c r="H42" i="3"/>
  <c r="G42" i="3"/>
  <c r="F42" i="3"/>
  <c r="E42" i="3"/>
  <c r="D42" i="3"/>
  <c r="C42" i="3"/>
  <c r="N41" i="3"/>
  <c r="M41" i="3"/>
  <c r="L41" i="3"/>
  <c r="K41" i="3"/>
  <c r="J41" i="3"/>
  <c r="I41" i="3"/>
  <c r="H41" i="3"/>
  <c r="G41" i="3"/>
  <c r="F41" i="3"/>
  <c r="E41" i="3"/>
  <c r="D41" i="3"/>
  <c r="C41" i="3"/>
  <c r="N40" i="3"/>
  <c r="M40" i="3"/>
  <c r="L40" i="3"/>
  <c r="K40" i="3"/>
  <c r="J40" i="3"/>
  <c r="I40" i="3"/>
  <c r="H40" i="3"/>
  <c r="G40" i="3"/>
  <c r="F40" i="3"/>
  <c r="E40" i="3"/>
  <c r="D40" i="3"/>
  <c r="C40" i="3"/>
  <c r="N39" i="3"/>
  <c r="M39" i="3"/>
  <c r="L39" i="3"/>
  <c r="K39" i="3"/>
  <c r="J39" i="3"/>
  <c r="I39" i="3"/>
  <c r="H39" i="3"/>
  <c r="G39" i="3"/>
  <c r="F39" i="3"/>
  <c r="E39" i="3"/>
  <c r="D39" i="3"/>
  <c r="C39" i="3"/>
  <c r="N37" i="3"/>
  <c r="M37" i="3"/>
  <c r="L37" i="3"/>
  <c r="K37" i="3"/>
  <c r="J37" i="3"/>
  <c r="I37" i="3"/>
  <c r="H37" i="3"/>
  <c r="G37" i="3"/>
  <c r="F37" i="3"/>
  <c r="E37" i="3"/>
  <c r="D37" i="3"/>
  <c r="C37" i="3"/>
  <c r="N36" i="3"/>
  <c r="M36" i="3"/>
  <c r="L36" i="3"/>
  <c r="K36" i="3"/>
  <c r="J36" i="3"/>
  <c r="I36" i="3"/>
  <c r="H36" i="3"/>
  <c r="G36" i="3"/>
  <c r="F36" i="3"/>
  <c r="E36" i="3"/>
  <c r="D36" i="3"/>
  <c r="C36" i="3"/>
  <c r="E32" i="3"/>
  <c r="D32" i="3"/>
  <c r="N26" i="3"/>
  <c r="M26" i="3"/>
  <c r="L26" i="3"/>
  <c r="K26" i="3"/>
  <c r="J26" i="3"/>
  <c r="I26" i="3"/>
  <c r="H26" i="3"/>
  <c r="G26" i="3"/>
  <c r="D24" i="3" a="1"/>
  <c r="D24" i="3" s="1"/>
  <c r="D23" i="3" a="1"/>
  <c r="D23" i="3" s="1"/>
  <c r="H23" i="3" s="1"/>
  <c r="E22" i="3" a="1"/>
  <c r="E22" i="3" s="1"/>
  <c r="D19" i="3" a="1"/>
  <c r="D19" i="3" s="1"/>
  <c r="N15" i="3"/>
  <c r="M15" i="3"/>
  <c r="L15" i="3"/>
  <c r="K15" i="3"/>
  <c r="J15" i="3"/>
  <c r="I15" i="3"/>
  <c r="H15" i="3"/>
  <c r="G15" i="3"/>
  <c r="D13" i="3" a="1"/>
  <c r="D13" i="3" s="1"/>
  <c r="D12" i="3" a="1"/>
  <c r="D12" i="3" s="1"/>
  <c r="D10" i="3" a="1"/>
  <c r="D10" i="3" s="1"/>
  <c r="D8" i="3" a="1"/>
  <c r="D8" i="3" s="1"/>
  <c r="J5" i="3"/>
  <c r="G5" i="3"/>
  <c r="F5" i="3"/>
  <c r="F24" i="3" s="1" a="1"/>
  <c r="F24" i="3" s="1"/>
  <c r="E5" i="3"/>
  <c r="E24" i="3" s="1" a="1"/>
  <c r="E24" i="3" s="1"/>
  <c r="D5" i="3"/>
  <c r="D20" i="3" s="1" a="1"/>
  <c r="D20" i="3" s="1"/>
  <c r="C5" i="3"/>
  <c r="N4" i="3"/>
  <c r="M4" i="3"/>
  <c r="L4" i="3"/>
  <c r="K4" i="3"/>
  <c r="J4" i="3"/>
  <c r="I4" i="3"/>
  <c r="H4" i="3"/>
  <c r="G4" i="3"/>
  <c r="G3" i="3" s="1"/>
  <c r="F4" i="3"/>
  <c r="E4" i="3"/>
  <c r="D4" i="3"/>
  <c r="C4" i="3"/>
  <c r="M3" i="3"/>
  <c r="J3" i="3"/>
  <c r="A3" i="3"/>
  <c r="K3" i="3" s="1"/>
  <c r="B63" i="2"/>
  <c r="B62" i="2"/>
  <c r="B61" i="2"/>
  <c r="B60" i="2"/>
  <c r="B57" i="2"/>
  <c r="B56" i="2"/>
  <c r="I5" i="3" s="1"/>
  <c r="E48" i="2"/>
  <c r="D48" i="2"/>
  <c r="C48" i="2" s="1"/>
  <c r="A48" i="2"/>
  <c r="E47" i="2"/>
  <c r="D47" i="2"/>
  <c r="C47" i="2"/>
  <c r="A47" i="2"/>
  <c r="E46" i="2"/>
  <c r="D46" i="2"/>
  <c r="C46" i="2" s="1"/>
  <c r="A46" i="2"/>
  <c r="E45" i="2"/>
  <c r="D45" i="2"/>
  <c r="C45" i="2"/>
  <c r="A45" i="2"/>
  <c r="E44" i="2"/>
  <c r="D44" i="2"/>
  <c r="C44" i="2" s="1"/>
  <c r="A44" i="2"/>
  <c r="E43" i="2"/>
  <c r="D43" i="2"/>
  <c r="C43" i="2"/>
  <c r="A43" i="2"/>
  <c r="E42" i="2"/>
  <c r="D42" i="2"/>
  <c r="C42" i="2" s="1"/>
  <c r="A42" i="2"/>
  <c r="E41" i="2"/>
  <c r="D41" i="2"/>
  <c r="C41" i="2"/>
  <c r="A41" i="2"/>
  <c r="E40" i="2"/>
  <c r="D40" i="2"/>
  <c r="C40" i="2" s="1"/>
  <c r="A40" i="2"/>
  <c r="E39" i="2"/>
  <c r="D39" i="2"/>
  <c r="C39" i="2"/>
  <c r="A39" i="2"/>
  <c r="E38" i="2"/>
  <c r="D38" i="2"/>
  <c r="C38" i="2" s="1"/>
  <c r="A38" i="2"/>
  <c r="E37" i="2"/>
  <c r="D37" i="2"/>
  <c r="C37" i="2"/>
  <c r="A37" i="2"/>
  <c r="E36" i="2"/>
  <c r="D36" i="2"/>
  <c r="C36" i="2" s="1"/>
  <c r="A36" i="2"/>
  <c r="E35" i="2"/>
  <c r="D35" i="2"/>
  <c r="C35" i="2"/>
  <c r="A35" i="2"/>
  <c r="E34" i="2"/>
  <c r="D34" i="2"/>
  <c r="C34" i="2" s="1"/>
  <c r="A34" i="2"/>
  <c r="E33" i="2"/>
  <c r="D33" i="2"/>
  <c r="C33" i="2"/>
  <c r="A33" i="2"/>
  <c r="E32" i="2"/>
  <c r="D32" i="2"/>
  <c r="C32" i="2" s="1"/>
  <c r="A32" i="2"/>
  <c r="E31" i="2"/>
  <c r="D31" i="2"/>
  <c r="C31" i="2"/>
  <c r="A31" i="2"/>
  <c r="E30" i="2"/>
  <c r="D30" i="2"/>
  <c r="C30" i="2" s="1"/>
  <c r="A30" i="2"/>
  <c r="E29" i="2"/>
  <c r="D29" i="2"/>
  <c r="C29" i="2"/>
  <c r="A29" i="2"/>
  <c r="E28" i="2"/>
  <c r="D28" i="2"/>
  <c r="C28" i="2" s="1"/>
  <c r="A28" i="2"/>
  <c r="E27" i="2"/>
  <c r="D27" i="2"/>
  <c r="C27" i="2"/>
  <c r="A27" i="2"/>
  <c r="E26" i="2"/>
  <c r="E49" i="2" s="1"/>
  <c r="D26" i="2"/>
  <c r="D49" i="2" s="1"/>
  <c r="A26" i="2"/>
  <c r="E25" i="2"/>
  <c r="D25" i="2"/>
  <c r="C25" i="2"/>
  <c r="A25" i="2"/>
  <c r="E20" i="3" l="1" a="1"/>
  <c r="E20" i="3" s="1"/>
  <c r="C26" i="2"/>
  <c r="C49" i="2" s="1"/>
  <c r="D9" i="3" a="1"/>
  <c r="D9" i="3" s="1"/>
  <c r="D21" i="3" a="1"/>
  <c r="D21" i="3" s="1"/>
  <c r="H21" i="3" s="1"/>
  <c r="E21" i="3" a="1"/>
  <c r="E21" i="3" s="1"/>
  <c r="H3" i="3"/>
  <c r="D11" i="3" a="1"/>
  <c r="D11" i="3" s="1"/>
  <c r="H11" i="3" s="1"/>
  <c r="H72" i="3" s="1"/>
  <c r="D22" i="3" a="1"/>
  <c r="D22" i="3" s="1"/>
  <c r="H22" i="3" s="1"/>
  <c r="H24" i="3"/>
  <c r="I22" i="3"/>
  <c r="I3" i="3"/>
  <c r="E13" i="3" a="1"/>
  <c r="E13" i="3" s="1"/>
  <c r="E12" i="3" a="1"/>
  <c r="E12" i="3" s="1"/>
  <c r="E11" i="3" a="1"/>
  <c r="E11" i="3" s="1"/>
  <c r="E10" i="3" a="1"/>
  <c r="E10" i="3" s="1"/>
  <c r="E9" i="3" a="1"/>
  <c r="E9" i="3" s="1"/>
  <c r="E8" i="3" a="1"/>
  <c r="E8" i="3" s="1"/>
  <c r="H8" i="3"/>
  <c r="D69" i="3"/>
  <c r="L8" i="3"/>
  <c r="D70" i="3"/>
  <c r="H9" i="3"/>
  <c r="H70" i="3" s="1"/>
  <c r="I21" i="3"/>
  <c r="I24" i="3"/>
  <c r="H20" i="3"/>
  <c r="D73" i="3"/>
  <c r="H12" i="3"/>
  <c r="H73" i="3" s="1"/>
  <c r="H10" i="3"/>
  <c r="H71" i="3" s="1"/>
  <c r="I20" i="3"/>
  <c r="H19" i="3"/>
  <c r="N5" i="3"/>
  <c r="L5" i="3"/>
  <c r="C13" i="3" a="1"/>
  <c r="C13" i="3" s="1"/>
  <c r="C12" i="3" a="1"/>
  <c r="C12" i="3" s="1"/>
  <c r="C11" i="3" a="1"/>
  <c r="C11" i="3" s="1"/>
  <c r="C10" i="3" a="1"/>
  <c r="C10" i="3" s="1"/>
  <c r="C9" i="3" a="1"/>
  <c r="C9" i="3" s="1"/>
  <c r="C8" i="3" a="1"/>
  <c r="C8" i="3" s="1"/>
  <c r="C23" i="3" a="1"/>
  <c r="C23" i="3" s="1"/>
  <c r="C22" i="3" a="1"/>
  <c r="C22" i="3" s="1"/>
  <c r="C20" i="3" a="1"/>
  <c r="C20" i="3" s="1"/>
  <c r="C24" i="3" a="1"/>
  <c r="C24" i="3" s="1"/>
  <c r="C21" i="3" a="1"/>
  <c r="C21" i="3" s="1"/>
  <c r="C19" i="3" a="1"/>
  <c r="C19" i="3" s="1"/>
  <c r="J24" i="3"/>
  <c r="L3" i="3"/>
  <c r="D3" i="3"/>
  <c r="C3" i="3"/>
  <c r="K5" i="3"/>
  <c r="M21" i="3" s="1"/>
  <c r="H13" i="3"/>
  <c r="H74" i="3" s="1"/>
  <c r="D74" i="3"/>
  <c r="E23" i="3" a="1"/>
  <c r="E23" i="3" s="1"/>
  <c r="E3" i="3"/>
  <c r="F3" i="3"/>
  <c r="N3" i="3"/>
  <c r="M5" i="3"/>
  <c r="E19" i="3" a="1"/>
  <c r="E19" i="3" s="1"/>
  <c r="B12" i="6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32" i="3"/>
  <c r="B14" i="6"/>
  <c r="H5" i="3"/>
  <c r="B16" i="6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B9" i="6"/>
  <c r="D72" i="3" l="1"/>
  <c r="H25" i="3"/>
  <c r="H27" i="3" s="1"/>
  <c r="D14" i="3"/>
  <c r="D16" i="3" s="1"/>
  <c r="D25" i="3"/>
  <c r="D27" i="3" s="1"/>
  <c r="D31" i="3"/>
  <c r="D33" i="3" s="1"/>
  <c r="D38" i="3" s="1"/>
  <c r="M20" i="3"/>
  <c r="D71" i="3"/>
  <c r="F71" i="3"/>
  <c r="N10" i="3"/>
  <c r="J10" i="3"/>
  <c r="K12" i="3"/>
  <c r="C73" i="3"/>
  <c r="G12" i="3"/>
  <c r="G73" i="3" s="1"/>
  <c r="M23" i="3"/>
  <c r="I23" i="3"/>
  <c r="I11" i="3"/>
  <c r="I72" i="3" s="1"/>
  <c r="E72" i="3"/>
  <c r="M11" i="3"/>
  <c r="F69" i="3"/>
  <c r="N8" i="3"/>
  <c r="F31" i="3"/>
  <c r="F33" i="3" s="1"/>
  <c r="F38" i="3" s="1"/>
  <c r="J8" i="3"/>
  <c r="F14" i="3"/>
  <c r="F16" i="3" s="1"/>
  <c r="L13" i="3"/>
  <c r="N24" i="3"/>
  <c r="K22" i="3"/>
  <c r="G22" i="3"/>
  <c r="D61" i="3"/>
  <c r="D53" i="3"/>
  <c r="L22" i="3"/>
  <c r="H69" i="3"/>
  <c r="H31" i="3"/>
  <c r="H14" i="3"/>
  <c r="H16" i="3" s="1"/>
  <c r="E73" i="3"/>
  <c r="I12" i="3"/>
  <c r="I73" i="3" s="1"/>
  <c r="M12" i="3"/>
  <c r="M73" i="3" s="1"/>
  <c r="K24" i="3"/>
  <c r="G24" i="3"/>
  <c r="N9" i="3"/>
  <c r="F70" i="3"/>
  <c r="J9" i="3"/>
  <c r="K20" i="3"/>
  <c r="G20" i="3"/>
  <c r="C74" i="3"/>
  <c r="K13" i="3"/>
  <c r="K74" i="3" s="1"/>
  <c r="G13" i="3"/>
  <c r="G74" i="3" s="1"/>
  <c r="L10" i="3"/>
  <c r="M24" i="3"/>
  <c r="D59" i="3"/>
  <c r="D51" i="3"/>
  <c r="D56" i="3"/>
  <c r="D64" i="3"/>
  <c r="D54" i="3"/>
  <c r="D62" i="3"/>
  <c r="K23" i="3"/>
  <c r="G23" i="3"/>
  <c r="H53" i="3"/>
  <c r="H61" i="3"/>
  <c r="I13" i="3"/>
  <c r="I74" i="3" s="1"/>
  <c r="E74" i="3"/>
  <c r="M13" i="3"/>
  <c r="N23" i="3"/>
  <c r="J23" i="3"/>
  <c r="G32" i="3"/>
  <c r="M19" i="3"/>
  <c r="M25" i="3" s="1"/>
  <c r="M27" i="3" s="1"/>
  <c r="E25" i="3"/>
  <c r="E27" i="3" s="1"/>
  <c r="I19" i="3"/>
  <c r="H56" i="3"/>
  <c r="H64" i="3"/>
  <c r="L11" i="3"/>
  <c r="L72" i="3" s="1"/>
  <c r="C31" i="3"/>
  <c r="C33" i="3" s="1"/>
  <c r="C38" i="3" s="1"/>
  <c r="C69" i="3"/>
  <c r="K8" i="3"/>
  <c r="C14" i="3"/>
  <c r="C16" i="3" s="1"/>
  <c r="G8" i="3"/>
  <c r="L21" i="3"/>
  <c r="L12" i="3"/>
  <c r="I10" i="3"/>
  <c r="I71" i="3" s="1"/>
  <c r="M10" i="3"/>
  <c r="M71" i="3" s="1"/>
  <c r="E71" i="3"/>
  <c r="N13" i="3"/>
  <c r="N74" i="3" s="1"/>
  <c r="F74" i="3"/>
  <c r="J13" i="3"/>
  <c r="J74" i="3" s="1"/>
  <c r="L24" i="3"/>
  <c r="L23" i="3"/>
  <c r="L20" i="3"/>
  <c r="L19" i="3"/>
  <c r="H62" i="3"/>
  <c r="H54" i="3"/>
  <c r="N21" i="3"/>
  <c r="J21" i="3"/>
  <c r="C71" i="3"/>
  <c r="K10" i="3"/>
  <c r="G10" i="3"/>
  <c r="D55" i="3"/>
  <c r="D63" i="3"/>
  <c r="H52" i="3"/>
  <c r="H60" i="3"/>
  <c r="E14" i="3"/>
  <c r="E16" i="3" s="1"/>
  <c r="I8" i="3"/>
  <c r="E69" i="3"/>
  <c r="M8" i="3"/>
  <c r="E31" i="3"/>
  <c r="E33" i="3" s="1"/>
  <c r="E38" i="3" s="1"/>
  <c r="N19" i="3"/>
  <c r="F25" i="3"/>
  <c r="F27" i="3" s="1"/>
  <c r="J19" i="3"/>
  <c r="N22" i="3"/>
  <c r="J22" i="3"/>
  <c r="C70" i="3"/>
  <c r="K9" i="3"/>
  <c r="G9" i="3"/>
  <c r="H55" i="3"/>
  <c r="H63" i="3"/>
  <c r="L9" i="3"/>
  <c r="L70" i="3" s="1"/>
  <c r="N12" i="3"/>
  <c r="N73" i="3" s="1"/>
  <c r="J12" i="3"/>
  <c r="F73" i="3"/>
  <c r="K19" i="3"/>
  <c r="C25" i="3"/>
  <c r="C27" i="3" s="1"/>
  <c r="G19" i="3"/>
  <c r="N20" i="3"/>
  <c r="J20" i="3"/>
  <c r="N11" i="3"/>
  <c r="N72" i="3" s="1"/>
  <c r="F72" i="3"/>
  <c r="J11" i="3"/>
  <c r="K21" i="3"/>
  <c r="G21" i="3"/>
  <c r="K11" i="3"/>
  <c r="C72" i="3"/>
  <c r="G11" i="3"/>
  <c r="G72" i="3" s="1"/>
  <c r="D52" i="3"/>
  <c r="D60" i="3"/>
  <c r="I9" i="3"/>
  <c r="I70" i="3" s="1"/>
  <c r="E70" i="3"/>
  <c r="M9" i="3"/>
  <c r="M22" i="3"/>
  <c r="L71" i="3" l="1"/>
  <c r="J72" i="3"/>
  <c r="L14" i="3"/>
  <c r="L16" i="3" s="1"/>
  <c r="I25" i="3"/>
  <c r="I27" i="3" s="1"/>
  <c r="M70" i="3"/>
  <c r="L25" i="3"/>
  <c r="L27" i="3" s="1"/>
  <c r="L74" i="3"/>
  <c r="L56" i="3" s="1"/>
  <c r="N62" i="3"/>
  <c r="N54" i="3"/>
  <c r="J56" i="3"/>
  <c r="J64" i="3"/>
  <c r="M55" i="3"/>
  <c r="M63" i="3"/>
  <c r="F17" i="3"/>
  <c r="E55" i="3"/>
  <c r="E63" i="3"/>
  <c r="M72" i="3"/>
  <c r="G63" i="3"/>
  <c r="G55" i="3"/>
  <c r="C64" i="3"/>
  <c r="C56" i="3"/>
  <c r="G62" i="3"/>
  <c r="G54" i="3"/>
  <c r="J25" i="3"/>
  <c r="J27" i="3" s="1"/>
  <c r="F59" i="3"/>
  <c r="F51" i="3"/>
  <c r="C62" i="3"/>
  <c r="C54" i="3"/>
  <c r="K72" i="3"/>
  <c r="F28" i="3"/>
  <c r="F60" i="3"/>
  <c r="F52" i="3"/>
  <c r="I54" i="3"/>
  <c r="I62" i="3"/>
  <c r="K73" i="3"/>
  <c r="N55" i="3"/>
  <c r="N63" i="3"/>
  <c r="E56" i="3"/>
  <c r="E64" i="3"/>
  <c r="N69" i="3"/>
  <c r="N31" i="3"/>
  <c r="N14" i="3"/>
  <c r="N16" i="3" s="1"/>
  <c r="G31" i="3"/>
  <c r="G14" i="3"/>
  <c r="G16" i="3" s="1"/>
  <c r="G69" i="3"/>
  <c r="L52" i="3"/>
  <c r="L60" i="3"/>
  <c r="F64" i="3"/>
  <c r="F56" i="3"/>
  <c r="I56" i="3"/>
  <c r="I64" i="3"/>
  <c r="I55" i="3"/>
  <c r="I63" i="3"/>
  <c r="L31" i="3"/>
  <c r="N64" i="3"/>
  <c r="N56" i="3"/>
  <c r="K31" i="3"/>
  <c r="K69" i="3"/>
  <c r="K14" i="3"/>
  <c r="K16" i="3" s="1"/>
  <c r="G25" i="3"/>
  <c r="G27" i="3" s="1"/>
  <c r="N25" i="3"/>
  <c r="N27" i="3" s="1"/>
  <c r="E61" i="3"/>
  <c r="E53" i="3"/>
  <c r="C59" i="3"/>
  <c r="C51" i="3"/>
  <c r="H32" i="3"/>
  <c r="G33" i="3"/>
  <c r="G38" i="3" s="1"/>
  <c r="J70" i="3"/>
  <c r="E54" i="3"/>
  <c r="E62" i="3"/>
  <c r="C63" i="3"/>
  <c r="C55" i="3"/>
  <c r="M52" i="3"/>
  <c r="M60" i="3"/>
  <c r="G70" i="3"/>
  <c r="M61" i="3"/>
  <c r="M53" i="3"/>
  <c r="E52" i="3"/>
  <c r="E60" i="3"/>
  <c r="K25" i="3"/>
  <c r="K27" i="3" s="1"/>
  <c r="K70" i="3"/>
  <c r="M14" i="3"/>
  <c r="M16" i="3" s="1"/>
  <c r="M69" i="3"/>
  <c r="M31" i="3"/>
  <c r="G71" i="3"/>
  <c r="I53" i="3"/>
  <c r="I61" i="3"/>
  <c r="L54" i="3"/>
  <c r="L62" i="3"/>
  <c r="L61" i="3"/>
  <c r="L53" i="3"/>
  <c r="N70" i="3"/>
  <c r="H51" i="3"/>
  <c r="H59" i="3"/>
  <c r="J71" i="3"/>
  <c r="I60" i="3"/>
  <c r="I52" i="3"/>
  <c r="J54" i="3"/>
  <c r="J62" i="3"/>
  <c r="F55" i="3"/>
  <c r="F63" i="3"/>
  <c r="C60" i="3"/>
  <c r="C52" i="3"/>
  <c r="E51" i="3"/>
  <c r="E59" i="3"/>
  <c r="K71" i="3"/>
  <c r="L73" i="3"/>
  <c r="G56" i="3"/>
  <c r="G64" i="3"/>
  <c r="J14" i="3"/>
  <c r="J16" i="3" s="1"/>
  <c r="J31" i="3"/>
  <c r="J69" i="3"/>
  <c r="N71" i="3"/>
  <c r="F54" i="3"/>
  <c r="F62" i="3"/>
  <c r="J73" i="3"/>
  <c r="I69" i="3"/>
  <c r="I31" i="3"/>
  <c r="I14" i="3"/>
  <c r="I16" i="3" s="1"/>
  <c r="C53" i="3"/>
  <c r="C61" i="3"/>
  <c r="M74" i="3"/>
  <c r="K64" i="3"/>
  <c r="K56" i="3"/>
  <c r="L69" i="3"/>
  <c r="F53" i="3"/>
  <c r="F61" i="3"/>
  <c r="J28" i="3" l="1"/>
  <c r="J17" i="3"/>
  <c r="J29" i="3" s="1"/>
  <c r="L64" i="3"/>
  <c r="L59" i="3"/>
  <c r="L51" i="3"/>
  <c r="G61" i="3"/>
  <c r="G53" i="3"/>
  <c r="G59" i="3"/>
  <c r="G51" i="3"/>
  <c r="F29" i="3"/>
  <c r="L55" i="3"/>
  <c r="L63" i="3"/>
  <c r="M51" i="3"/>
  <c r="M59" i="3"/>
  <c r="G60" i="3"/>
  <c r="G52" i="3"/>
  <c r="N17" i="3"/>
  <c r="N29" i="3" s="1"/>
  <c r="K63" i="3"/>
  <c r="K55" i="3"/>
  <c r="K62" i="3"/>
  <c r="K54" i="3"/>
  <c r="I51" i="3"/>
  <c r="I59" i="3"/>
  <c r="J63" i="3"/>
  <c r="J55" i="3"/>
  <c r="N60" i="3"/>
  <c r="N52" i="3"/>
  <c r="K53" i="3"/>
  <c r="K61" i="3"/>
  <c r="I32" i="3"/>
  <c r="H33" i="3"/>
  <c r="H38" i="3" s="1"/>
  <c r="N53" i="3"/>
  <c r="N61" i="3"/>
  <c r="K52" i="3"/>
  <c r="K60" i="3"/>
  <c r="M56" i="3"/>
  <c r="M64" i="3"/>
  <c r="N28" i="3"/>
  <c r="M54" i="3"/>
  <c r="M62" i="3"/>
  <c r="J60" i="3"/>
  <c r="J52" i="3"/>
  <c r="K59" i="3"/>
  <c r="K51" i="3"/>
  <c r="J59" i="3"/>
  <c r="J51" i="3"/>
  <c r="N59" i="3"/>
  <c r="N51" i="3"/>
  <c r="J61" i="3"/>
  <c r="J53" i="3"/>
  <c r="I33" i="3" l="1"/>
  <c r="I38" i="3" s="1"/>
  <c r="J32" i="3"/>
  <c r="J33" i="3" l="1"/>
  <c r="J38" i="3" s="1"/>
  <c r="K32" i="3"/>
  <c r="L32" i="3" l="1"/>
  <c r="K33" i="3"/>
  <c r="K38" i="3" s="1"/>
  <c r="L33" i="3" l="1"/>
  <c r="L38" i="3" s="1"/>
  <c r="M32" i="3"/>
  <c r="M33" i="3" l="1"/>
  <c r="M38" i="3" s="1"/>
  <c r="N32" i="3"/>
  <c r="N33" i="3" s="1"/>
  <c r="N38" i="3" s="1"/>
</calcChain>
</file>

<file path=xl/comments1.xml><?xml version="1.0" encoding="utf-8"?>
<comments xmlns="http://schemas.openxmlformats.org/spreadsheetml/2006/main">
  <authors>
    <author/>
  </authors>
  <commentList>
    <comment ref="A37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IRONS Neale M:
</t>
        </r>
        <r>
          <rPr>
            <sz val="8"/>
            <color rgb="FF000000"/>
            <rFont val="Tahoma"/>
            <family val="2"/>
            <charset val="1"/>
          </rPr>
          <t>Value depends on road length.</t>
        </r>
      </text>
    </comment>
  </commentList>
</comments>
</file>

<file path=xl/sharedStrings.xml><?xml version="1.0" encoding="utf-8"?>
<sst xmlns="http://schemas.openxmlformats.org/spreadsheetml/2006/main" count="298" uniqueCount="200">
  <si>
    <t>Calculate TRARR Traffic Volumes from Class by Hour Traffic Survey</t>
  </si>
  <si>
    <t>Ver</t>
  </si>
  <si>
    <t>Step</t>
  </si>
  <si>
    <t>Instruction</t>
  </si>
  <si>
    <r>
      <rPr>
        <sz val="10"/>
        <rFont val="Arial"/>
        <family val="2"/>
        <charset val="1"/>
      </rPr>
      <t xml:space="preserve">Paste hourly Vehicle Class Time matrix for prescribed and counter direction into DIRcount sheets and update TRFsetup traffic count cells. </t>
    </r>
    <r>
      <rPr>
        <b/>
        <sz val="10"/>
        <rFont val="Arial"/>
        <family val="2"/>
        <charset val="1"/>
      </rPr>
      <t>Note:</t>
    </r>
    <r>
      <rPr>
        <sz val="10"/>
        <rFont val="Arial"/>
        <family val="2"/>
        <charset val="1"/>
      </rPr>
      <t xml:space="preserve"> Matrix start cell is a hard-coded relative reference so rows/columns can be inserted/deleted before data is pasted into sheet.</t>
    </r>
  </si>
  <si>
    <t>Update time periods if required, eg A, P, D and N for AM Peak, PM peak, Day and Night hours.</t>
  </si>
  <si>
    <t>Enter TRFsetup road-section</t>
  </si>
  <si>
    <t>Verify total daily traffic volumes against matrix with growth factor in Row 5 of 100%.</t>
  </si>
  <si>
    <t>Enter Year, Factor and Growth into Row 5. Survey can be adjusted by a factor to represent section to be modelled.</t>
  </si>
  <si>
    <t>Delete seeds and run Random_Seed macro for new dataset or use RandBetween(0, 999999) copy/paste values</t>
  </si>
  <si>
    <t>Enable/Disable seed file creation eg 1/0 or other combinations</t>
  </si>
  <si>
    <t>The python program make_trf.py will generate traffic files</t>
  </si>
  <si>
    <t>Inputs</t>
  </si>
  <si>
    <t>Time of day by vehicle class by direction traffic counts</t>
  </si>
  <si>
    <t>Factor to adjust counts to first year of analysis</t>
  </si>
  <si>
    <t>Annual growth factor</t>
  </si>
  <si>
    <t>Years to be analysed</t>
  </si>
  <si>
    <t>Determine daily time periods</t>
  </si>
  <si>
    <t>Base filename</t>
  </si>
  <si>
    <t>Percent following</t>
  </si>
  <si>
    <t>Number of seeds</t>
  </si>
  <si>
    <t>Project directory for data files</t>
  </si>
  <si>
    <t>Changes</t>
  </si>
  <si>
    <t>Template is hard-coded in year blocks of time periods.</t>
  </si>
  <si>
    <t>If filename is blank for unused time periods or years TRF files will not be generated</t>
  </si>
  <si>
    <t>Process to insert time periods:</t>
  </si>
  <si>
    <t xml:space="preserve"> Insert TRFsetup time period</t>
  </si>
  <si>
    <t xml:space="preserve"> Insert TRFdata column in first year block and subsequent year blocks</t>
  </si>
  <si>
    <t xml:space="preserve"> Highlight adjacent column and drag formula over new column</t>
  </si>
  <si>
    <t xml:space="preserve"> Note: TRFdata first year block uses Array Formulas - Press Ctrl+Shift+Enter.</t>
  </si>
  <si>
    <t>Process to insert year blocks:</t>
  </si>
  <si>
    <t xml:space="preserve"> Insert TRFsetup year</t>
  </si>
  <si>
    <t xml:space="preserve"> Copy TRFdata last year block and paste to new position</t>
  </si>
  <si>
    <t xml:space="preserve"> Link TRFdata year to TRFsetup year</t>
  </si>
  <si>
    <t>todo</t>
  </si>
  <si>
    <t>Blank TRFsetup filename if no time period</t>
  </si>
  <si>
    <t>Lookup TRFsetup DIR1 and DIR2 traffic No by hour of day</t>
  </si>
  <si>
    <t xml:space="preserve">Check ReadMe </t>
  </si>
  <si>
    <t>Defaults</t>
  </si>
  <si>
    <t xml:space="preserve">TUN   </t>
  </si>
  <si>
    <t xml:space="preserve">TSE   </t>
  </si>
  <si>
    <t xml:space="preserve">tsi   </t>
  </si>
  <si>
    <t>OPTION</t>
  </si>
  <si>
    <t xml:space="preserve">DTS1  </t>
  </si>
  <si>
    <t xml:space="preserve">DTS2  </t>
  </si>
  <si>
    <t>ppfol1</t>
  </si>
  <si>
    <t>ppfol2</t>
  </si>
  <si>
    <t xml:space="preserve">NSTR  </t>
  </si>
  <si>
    <t>NSEED0</t>
  </si>
  <si>
    <t>ICHECK</t>
  </si>
  <si>
    <t>BaseFilename</t>
  </si>
  <si>
    <t>MRNoSec</t>
  </si>
  <si>
    <t>Traffic Counts</t>
  </si>
  <si>
    <t>Sheet</t>
  </si>
  <si>
    <t>Matrix starts</t>
  </si>
  <si>
    <t>DIR1</t>
  </si>
  <si>
    <t>DIR1count</t>
  </si>
  <si>
    <t>C14</t>
  </si>
  <si>
    <t>DIR2</t>
  </si>
  <si>
    <t>DIR2count</t>
  </si>
  <si>
    <t>Hour \ Counts</t>
  </si>
  <si>
    <t>Period</t>
  </si>
  <si>
    <t>Both ways</t>
  </si>
  <si>
    <t>Dir1</t>
  </si>
  <si>
    <t>Dir2</t>
  </si>
  <si>
    <t>N</t>
  </si>
  <si>
    <t>D</t>
  </si>
  <si>
    <t>A</t>
  </si>
  <si>
    <t>P</t>
  </si>
  <si>
    <t>Count Year</t>
  </si>
  <si>
    <t>Growth%</t>
  </si>
  <si>
    <t>Years</t>
  </si>
  <si>
    <t>Growth Factor</t>
  </si>
  <si>
    <t>Period code</t>
  </si>
  <si>
    <t>No</t>
  </si>
  <si>
    <t>Description</t>
  </si>
  <si>
    <t xml:space="preserve"> 11-12</t>
  </si>
  <si>
    <t xml:space="preserve"> 12-13</t>
  </si>
  <si>
    <t xml:space="preserve"> 06-18 (excluding Peak)</t>
  </si>
  <si>
    <t xml:space="preserve"> 18-06</t>
  </si>
  <si>
    <t>TRFdata</t>
  </si>
  <si>
    <t>Year</t>
  </si>
  <si>
    <t>Cars 1 (qcar1)</t>
  </si>
  <si>
    <t>Car Towing 1 (qct1)</t>
  </si>
  <si>
    <t>Rigid / Bus 1 (qrig1)</t>
  </si>
  <si>
    <t>Single Artic 1 (qart1)</t>
  </si>
  <si>
    <t>B-double 1 (qbdb1)</t>
  </si>
  <si>
    <t>Road Train 1 (qrdt1)</t>
  </si>
  <si>
    <t>veh/hr</t>
  </si>
  <si>
    <t>hr/day</t>
  </si>
  <si>
    <t>veh/day</t>
  </si>
  <si>
    <t>Cars 2 (qcar2)</t>
  </si>
  <si>
    <t>Car Towing 2 (qct2)</t>
  </si>
  <si>
    <t>Rigid / Bus 2 (qrig2)</t>
  </si>
  <si>
    <t>Single Artic 2 (qart2)</t>
  </si>
  <si>
    <t>B-double 2 (qbdb2)</t>
  </si>
  <si>
    <t>Road Train 2 (qrdt2)</t>
  </si>
  <si>
    <t>2way veh/day</t>
  </si>
  <si>
    <t>Qtot</t>
  </si>
  <si>
    <t>Sample (vehicles)</t>
  </si>
  <si>
    <t>TSI</t>
  </si>
  <si>
    <t>TUN</t>
  </si>
  <si>
    <t>TSE</t>
  </si>
  <si>
    <t>DTS1</t>
  </si>
  <si>
    <t>DTS2</t>
  </si>
  <si>
    <t>PFOL1</t>
  </si>
  <si>
    <t>PFOL2</t>
  </si>
  <si>
    <t>NSTR</t>
  </si>
  <si>
    <t>ADVGC</t>
  </si>
  <si>
    <t>Proportion</t>
  </si>
  <si>
    <t>CARS</t>
  </si>
  <si>
    <t>CAR TOW</t>
  </si>
  <si>
    <t>RIGIDS</t>
  </si>
  <si>
    <t>SGLARTC</t>
  </si>
  <si>
    <t>DBLARTC</t>
  </si>
  <si>
    <t>RDTRAIN</t>
  </si>
  <si>
    <t>VMIT</t>
  </si>
  <si>
    <t>BOTH WAYS</t>
  </si>
  <si>
    <t>Vehicles/hr</t>
  </si>
  <si>
    <t>EnableSeed1</t>
  </si>
  <si>
    <t>EnableSeed2</t>
  </si>
  <si>
    <t>EnableSeed3</t>
  </si>
  <si>
    <t>EnableSeed4</t>
  </si>
  <si>
    <t>EnableSeed5</t>
  </si>
  <si>
    <t>EnableSeed6</t>
  </si>
  <si>
    <t>EnableSeed7</t>
  </si>
  <si>
    <t>EnableSeed8</t>
  </si>
  <si>
    <t>EnableSeed9</t>
  </si>
  <si>
    <t>EnableSeed10</t>
  </si>
  <si>
    <t>Seed1</t>
  </si>
  <si>
    <t>Seed2</t>
  </si>
  <si>
    <t>Seed3</t>
  </si>
  <si>
    <t>Seed4</t>
  </si>
  <si>
    <t>Seed5</t>
  </si>
  <si>
    <t>Seed6</t>
  </si>
  <si>
    <t>Seed7</t>
  </si>
  <si>
    <t>Seed8</t>
  </si>
  <si>
    <t>Seed9</t>
  </si>
  <si>
    <t>Seed10</t>
  </si>
  <si>
    <t>Vehicle Classification Summary</t>
  </si>
  <si>
    <t>Road</t>
  </si>
  <si>
    <t xml:space="preserve">(MR78) Olympic Highway </t>
  </si>
  <si>
    <t>Survey Week</t>
  </si>
  <si>
    <t>Survey Day</t>
  </si>
  <si>
    <t>Location</t>
  </si>
  <si>
    <t xml:space="preserve"> Culcairn - 3.2km N of MR331 (Holbrook Rd)  </t>
  </si>
  <si>
    <t>Total No. of Vehicles</t>
  </si>
  <si>
    <t>Ave Speed</t>
  </si>
  <si>
    <t>Site No.</t>
  </si>
  <si>
    <t>85%ile Speed</t>
  </si>
  <si>
    <t>Direction</t>
  </si>
  <si>
    <t>Start Date</t>
  </si>
  <si>
    <t>Wed 07/02/18</t>
  </si>
  <si>
    <t>Heavy Vehicle %</t>
  </si>
  <si>
    <t>End Date</t>
  </si>
  <si>
    <t>Wed 14/02/18</t>
  </si>
  <si>
    <t>Northbound</t>
  </si>
  <si>
    <t>Time</t>
  </si>
  <si>
    <t>Vehicle Classification:</t>
  </si>
  <si>
    <t>Week 1: 7 day average</t>
  </si>
  <si>
    <t>Hourly
Totals</t>
  </si>
  <si>
    <t>Speed</t>
  </si>
  <si>
    <t>Ave.</t>
  </si>
  <si>
    <t>85%ile</t>
  </si>
  <si>
    <t>0000-0100</t>
  </si>
  <si>
    <t>-</t>
  </si>
  <si>
    <t>0100-0200</t>
  </si>
  <si>
    <t>0200-0300</t>
  </si>
  <si>
    <t>0300-0400</t>
  </si>
  <si>
    <t>0400-0500</t>
  </si>
  <si>
    <t>0500-0600</t>
  </si>
  <si>
    <t>0600-0700</t>
  </si>
  <si>
    <t>0700-0800</t>
  </si>
  <si>
    <t>0800-0900</t>
  </si>
  <si>
    <t>0900-1000</t>
  </si>
  <si>
    <t>1000-1100</t>
  </si>
  <si>
    <t>1100-1200</t>
  </si>
  <si>
    <t>1200-1300</t>
  </si>
  <si>
    <t>1300-1400</t>
  </si>
  <si>
    <t>1400-1500</t>
  </si>
  <si>
    <t>1500-1600</t>
  </si>
  <si>
    <t>1600-1700</t>
  </si>
  <si>
    <t>1700-1800</t>
  </si>
  <si>
    <t>1800-1900</t>
  </si>
  <si>
    <t>1900-2000</t>
  </si>
  <si>
    <t>2000-2100</t>
  </si>
  <si>
    <t>2100-2200</t>
  </si>
  <si>
    <t>2200-2300</t>
  </si>
  <si>
    <t>2300-2400</t>
  </si>
  <si>
    <t>Totals</t>
  </si>
  <si>
    <t>Peaks</t>
  </si>
  <si>
    <t>0700-0900</t>
  </si>
  <si>
    <t>1600-1800</t>
  </si>
  <si>
    <t>Off-Peak</t>
  </si>
  <si>
    <t>Southbound</t>
  </si>
  <si>
    <t>Selecting TRARR TSE (Time Settling down) Value</t>
  </si>
  <si>
    <t>Min speed (km/hr)</t>
  </si>
  <si>
    <t>Min speed (m/sec)</t>
  </si>
  <si>
    <t>Length (km)</t>
  </si>
  <si>
    <t>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</si>
</sst>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h:mm"/>
    <numFmt numFmtId="165" formatCode="0.0%"/>
    <numFmt numFmtId="166" formatCode="0.0"/>
    <numFmt numFmtId="167" formatCode="_-* #,##0.00_-;\-* #,##0.00_-;_-* \-??_-;_-@_-"/>
    <numFmt numFmtId="168" formatCode="_-* #,##0_-;\-* #,##0_-;_-* \-??_-;_-@_-"/>
    <numFmt numFmtId="169" formatCode="#,##0.0"/>
    <numFmt numFmtId="170" formatCode="ddd\ dd/mm/yy"/>
    <numFmt numFmtId="171" formatCode="_-* #,##0.0_-;\-* #,##0.0_-;_-* \-??_-;_-@_-"/>
  </numFmts>
  <fonts count="8" x14ac:knownFonts="1">
    <font>
      <sz val="10"/>
      <name val="Arial"/>
      <charset val="1"/>
    </font>
    <font>
      <b/>
      <sz val="10"/>
      <name val="Arial"/>
      <family val="2"/>
      <charset val="1"/>
    </font>
    <font>
      <b/>
      <sz val="12"/>
      <name val="Arial"/>
      <family val="2"/>
      <charset val="1"/>
    </font>
    <font>
      <sz val="10"/>
      <name val="Arial"/>
      <family val="2"/>
      <charset val="1"/>
    </font>
    <font>
      <b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9"/>
      <name val="Arial"/>
      <family val="2"/>
      <charset val="1"/>
    </font>
    <font>
      <b/>
      <sz val="9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9AE"/>
        <bgColor rgb="FFFFFF99"/>
      </patternFill>
    </fill>
    <fill>
      <patternFill patternType="solid">
        <fgColor rgb="FFCCCCCC"/>
        <bgColor rgb="FFCCCCFF"/>
      </patternFill>
    </fill>
    <fill>
      <patternFill patternType="solid">
        <fgColor rgb="FFFFFF99"/>
        <bgColor rgb="FFFFF9AE"/>
      </patternFill>
    </fill>
    <fill>
      <patternFill patternType="solid">
        <fgColor rgb="FFFFFF00"/>
        <bgColor rgb="FFFFFF00"/>
      </patternFill>
    </fill>
  </fills>
  <borders count="2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Dashed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Dashed">
        <color auto="1"/>
      </bottom>
      <diagonal/>
    </border>
    <border>
      <left/>
      <right/>
      <top style="thin">
        <color auto="1"/>
      </top>
      <bottom style="medium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Dashed">
        <color auto="1"/>
      </bottom>
      <diagonal/>
    </border>
    <border>
      <left style="thin">
        <color auto="1"/>
      </left>
      <right/>
      <top style="medium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thin">
        <color auto="1"/>
      </bottom>
      <diagonal/>
    </border>
  </borders>
  <cellStyleXfs count="3">
    <xf numFmtId="0" fontId="0" fillId="0" borderId="0"/>
    <xf numFmtId="167" fontId="3" fillId="0" borderId="0" applyBorder="0" applyProtection="0"/>
    <xf numFmtId="9" fontId="3" fillId="0" borderId="0" applyBorder="0" applyProtection="0"/>
  </cellStyleXfs>
  <cellXfs count="138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14" fontId="1" fillId="0" borderId="0" xfId="0" applyNumberFormat="1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0" xfId="0" applyFont="1" applyAlignment="1">
      <alignment vertical="top" wrapText="1"/>
    </xf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164" fontId="0" fillId="2" borderId="0" xfId="0" applyNumberFormat="1" applyFill="1"/>
    <xf numFmtId="3" fontId="0" fillId="4" borderId="0" xfId="0" applyNumberFormat="1" applyFill="1"/>
    <xf numFmtId="3" fontId="0" fillId="2" borderId="0" xfId="0" applyNumberFormat="1" applyFill="1"/>
    <xf numFmtId="3" fontId="0" fillId="0" borderId="0" xfId="0" applyNumberFormat="1"/>
    <xf numFmtId="0" fontId="3" fillId="2" borderId="0" xfId="0" applyFont="1" applyFill="1"/>
    <xf numFmtId="3" fontId="0" fillId="0" borderId="1" xfId="0" applyNumberFormat="1" applyBorder="1"/>
    <xf numFmtId="3" fontId="0" fillId="0" borderId="0" xfId="0" applyNumberFormat="1" applyBorder="1"/>
    <xf numFmtId="165" fontId="3" fillId="2" borderId="0" xfId="2" applyNumberFormat="1" applyFont="1" applyFill="1" applyBorder="1" applyAlignment="1" applyProtection="1"/>
    <xf numFmtId="9" fontId="3" fillId="2" borderId="0" xfId="2" applyFont="1" applyFill="1" applyBorder="1" applyAlignment="1" applyProtection="1"/>
    <xf numFmtId="9" fontId="3" fillId="0" borderId="0" xfId="2" applyFont="1" applyBorder="1" applyAlignment="1" applyProtection="1"/>
    <xf numFmtId="165" fontId="3" fillId="0" borderId="0" xfId="2" applyNumberFormat="1" applyFont="1" applyBorder="1" applyAlignment="1" applyProtection="1"/>
    <xf numFmtId="0" fontId="2" fillId="0" borderId="0" xfId="0" applyFont="1"/>
    <xf numFmtId="0" fontId="3" fillId="5" borderId="2" xfId="0" applyFont="1" applyFill="1" applyBorder="1"/>
    <xf numFmtId="0" fontId="0" fillId="5" borderId="0" xfId="0" applyFill="1"/>
    <xf numFmtId="0" fontId="0" fillId="5" borderId="0" xfId="0" applyFill="1" applyBorder="1"/>
    <xf numFmtId="9" fontId="0" fillId="5" borderId="0" xfId="2" applyFont="1" applyFill="1" applyBorder="1" applyAlignment="1" applyProtection="1"/>
    <xf numFmtId="165" fontId="0" fillId="0" borderId="0" xfId="2" applyNumberFormat="1" applyFont="1" applyBorder="1" applyAlignment="1" applyProtection="1"/>
    <xf numFmtId="0" fontId="0" fillId="0" borderId="0" xfId="0" applyBorder="1"/>
    <xf numFmtId="166" fontId="0" fillId="0" borderId="0" xfId="0" applyNumberFormat="1"/>
    <xf numFmtId="0" fontId="0" fillId="0" borderId="3" xfId="0" applyFont="1" applyBorder="1" applyAlignment="1">
      <alignment horizontal="right"/>
    </xf>
    <xf numFmtId="0" fontId="0" fillId="0" borderId="4" xfId="0" applyBorder="1" applyAlignment="1">
      <alignment horizontal="right"/>
    </xf>
    <xf numFmtId="1" fontId="0" fillId="6" borderId="2" xfId="0" applyNumberFormat="1" applyFill="1" applyBorder="1" applyAlignment="1">
      <alignment horizontal="right"/>
    </xf>
    <xf numFmtId="1" fontId="0" fillId="5" borderId="2" xfId="0" applyNumberFormat="1" applyFill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3" fillId="0" borderId="6" xfId="0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168" fontId="0" fillId="0" borderId="0" xfId="1" applyNumberFormat="1" applyFont="1" applyBorder="1" applyAlignment="1" applyProtection="1">
      <alignment horizontal="right"/>
    </xf>
    <xf numFmtId="0" fontId="0" fillId="0" borderId="0" xfId="0" applyAlignment="1">
      <alignment horizontal="right"/>
    </xf>
    <xf numFmtId="1" fontId="0" fillId="0" borderId="0" xfId="1" applyNumberFormat="1" applyFont="1" applyBorder="1" applyAlignment="1" applyProtection="1">
      <alignment horizontal="right"/>
    </xf>
    <xf numFmtId="168" fontId="0" fillId="0" borderId="0" xfId="1" applyNumberFormat="1" applyFont="1" applyBorder="1" applyAlignment="1" applyProtection="1">
      <alignment horizontal="center"/>
    </xf>
    <xf numFmtId="0" fontId="3" fillId="0" borderId="0" xfId="0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1" fillId="0" borderId="0" xfId="0" applyFont="1" applyBorder="1" applyAlignment="1">
      <alignment horizontal="center"/>
    </xf>
    <xf numFmtId="168" fontId="0" fillId="5" borderId="2" xfId="1" applyNumberFormat="1" applyFont="1" applyFill="1" applyBorder="1" applyAlignment="1" applyProtection="1">
      <alignment horizontal="center"/>
    </xf>
    <xf numFmtId="3" fontId="0" fillId="0" borderId="0" xfId="0" applyNumberFormat="1" applyBorder="1" applyAlignment="1">
      <alignment horizontal="center"/>
    </xf>
    <xf numFmtId="166" fontId="0" fillId="2" borderId="0" xfId="0" applyNumberFormat="1" applyFill="1"/>
    <xf numFmtId="166" fontId="1" fillId="0" borderId="0" xfId="0" applyNumberFormat="1" applyFont="1"/>
    <xf numFmtId="2" fontId="0" fillId="0" borderId="0" xfId="0" applyNumberFormat="1"/>
    <xf numFmtId="1" fontId="0" fillId="2" borderId="0" xfId="0" applyNumberFormat="1" applyFill="1"/>
    <xf numFmtId="1" fontId="0" fillId="0" borderId="0" xfId="0" applyNumberFormat="1"/>
    <xf numFmtId="1" fontId="6" fillId="0" borderId="0" xfId="0" applyNumberFormat="1" applyFont="1"/>
    <xf numFmtId="0" fontId="0" fillId="0" borderId="0" xfId="0" applyAlignment="1"/>
    <xf numFmtId="1" fontId="7" fillId="0" borderId="0" xfId="0" applyNumberFormat="1" applyFont="1" applyAlignment="1"/>
    <xf numFmtId="1" fontId="6" fillId="0" borderId="0" xfId="0" applyNumberFormat="1" applyFont="1" applyAlignment="1"/>
    <xf numFmtId="1" fontId="7" fillId="0" borderId="7" xfId="0" applyNumberFormat="1" applyFont="1" applyBorder="1" applyAlignment="1">
      <alignment horizontal="left"/>
    </xf>
    <xf numFmtId="1" fontId="6" fillId="0" borderId="8" xfId="0" applyNumberFormat="1" applyFont="1" applyBorder="1" applyAlignment="1">
      <alignment horizontal="left"/>
    </xf>
    <xf numFmtId="1" fontId="6" fillId="0" borderId="8" xfId="0" applyNumberFormat="1" applyFont="1" applyBorder="1" applyAlignment="1"/>
    <xf numFmtId="1" fontId="2" fillId="0" borderId="8" xfId="0" applyNumberFormat="1" applyFont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1" fontId="7" fillId="0" borderId="0" xfId="0" applyNumberFormat="1" applyFont="1" applyBorder="1" applyAlignment="1">
      <alignment horizontal="left" vertical="center"/>
    </xf>
    <xf numFmtId="1" fontId="6" fillId="0" borderId="0" xfId="0" applyNumberFormat="1" applyFont="1" applyBorder="1" applyAlignment="1">
      <alignment horizontal="left" vertical="center"/>
    </xf>
    <xf numFmtId="1" fontId="6" fillId="0" borderId="9" xfId="0" applyNumberFormat="1" applyFont="1" applyBorder="1" applyAlignment="1">
      <alignment horizontal="left" vertical="center"/>
    </xf>
    <xf numFmtId="1" fontId="7" fillId="0" borderId="7" xfId="0" applyNumberFormat="1" applyFont="1" applyBorder="1" applyAlignment="1">
      <alignment horizontal="center"/>
    </xf>
    <xf numFmtId="1" fontId="7" fillId="0" borderId="8" xfId="0" applyNumberFormat="1" applyFont="1" applyBorder="1" applyAlignment="1">
      <alignment horizontal="center"/>
    </xf>
    <xf numFmtId="3" fontId="6" fillId="0" borderId="8" xfId="0" applyNumberFormat="1" applyFont="1" applyBorder="1" applyAlignment="1">
      <alignment horizontal="center"/>
    </xf>
    <xf numFmtId="3" fontId="6" fillId="0" borderId="6" xfId="0" applyNumberFormat="1" applyFont="1" applyBorder="1" applyAlignment="1">
      <alignment horizontal="center"/>
    </xf>
    <xf numFmtId="1" fontId="7" fillId="0" borderId="0" xfId="0" applyNumberFormat="1" applyFont="1" applyBorder="1" applyAlignment="1">
      <alignment horizontal="right"/>
    </xf>
    <xf numFmtId="1" fontId="0" fillId="0" borderId="0" xfId="0" applyNumberFormat="1" applyBorder="1" applyAlignment="1"/>
    <xf numFmtId="1" fontId="0" fillId="0" borderId="9" xfId="0" applyNumberFormat="1" applyBorder="1" applyAlignment="1"/>
    <xf numFmtId="1" fontId="7" fillId="0" borderId="10" xfId="0" applyNumberFormat="1" applyFont="1" applyBorder="1" applyAlignment="1">
      <alignment horizontal="center"/>
    </xf>
    <xf numFmtId="1" fontId="7" fillId="0" borderId="0" xfId="0" applyNumberFormat="1" applyFont="1" applyBorder="1" applyAlignment="1">
      <alignment horizontal="center"/>
    </xf>
    <xf numFmtId="169" fontId="6" fillId="0" borderId="0" xfId="0" applyNumberFormat="1" applyFont="1" applyBorder="1" applyAlignment="1">
      <alignment horizontal="center"/>
    </xf>
    <xf numFmtId="169" fontId="6" fillId="0" borderId="9" xfId="0" applyNumberFormat="1" applyFont="1" applyBorder="1" applyAlignment="1">
      <alignment horizontal="center"/>
    </xf>
    <xf numFmtId="1" fontId="7" fillId="0" borderId="10" xfId="0" applyNumberFormat="1" applyFont="1" applyBorder="1" applyAlignment="1">
      <alignment horizontal="left"/>
    </xf>
    <xf numFmtId="1" fontId="6" fillId="0" borderId="0" xfId="0" applyNumberFormat="1" applyFont="1" applyBorder="1" applyAlignment="1">
      <alignment horizontal="left"/>
    </xf>
    <xf numFmtId="1" fontId="6" fillId="0" borderId="0" xfId="0" applyNumberFormat="1" applyFont="1" applyBorder="1" applyAlignment="1"/>
    <xf numFmtId="1" fontId="2" fillId="0" borderId="0" xfId="0" applyNumberFormat="1" applyFont="1" applyBorder="1" applyAlignment="1">
      <alignment horizontal="center"/>
    </xf>
    <xf numFmtId="1" fontId="2" fillId="0" borderId="9" xfId="0" applyNumberFormat="1" applyFont="1" applyBorder="1" applyAlignment="1">
      <alignment horizontal="center"/>
    </xf>
    <xf numFmtId="170" fontId="6" fillId="0" borderId="0" xfId="0" applyNumberFormat="1" applyFont="1" applyBorder="1" applyAlignment="1">
      <alignment horizontal="left"/>
    </xf>
    <xf numFmtId="170" fontId="6" fillId="0" borderId="0" xfId="0" applyNumberFormat="1" applyFont="1" applyBorder="1" applyAlignment="1"/>
    <xf numFmtId="1" fontId="7" fillId="0" borderId="11" xfId="0" applyNumberFormat="1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0" fontId="6" fillId="0" borderId="1" xfId="0" applyNumberFormat="1" applyFont="1" applyBorder="1" applyAlignment="1">
      <alignment horizontal="center"/>
    </xf>
    <xf numFmtId="10" fontId="6" fillId="0" borderId="12" xfId="0" applyNumberFormat="1" applyFont="1" applyBorder="1" applyAlignment="1">
      <alignment horizontal="center"/>
    </xf>
    <xf numFmtId="1" fontId="6" fillId="0" borderId="9" xfId="0" applyNumberFormat="1" applyFont="1" applyBorder="1" applyAlignment="1">
      <alignment horizontal="center"/>
    </xf>
    <xf numFmtId="1" fontId="7" fillId="0" borderId="11" xfId="0" applyNumberFormat="1" applyFont="1" applyBorder="1" applyAlignment="1">
      <alignment horizontal="left"/>
    </xf>
    <xf numFmtId="170" fontId="6" fillId="0" borderId="1" xfId="0" applyNumberFormat="1" applyFont="1" applyBorder="1" applyAlignment="1">
      <alignment horizontal="left"/>
    </xf>
    <xf numFmtId="170" fontId="6" fillId="0" borderId="1" xfId="0" applyNumberFormat="1" applyFont="1" applyBorder="1" applyAlignment="1"/>
    <xf numFmtId="1" fontId="7" fillId="0" borderId="1" xfId="0" applyNumberFormat="1" applyFont="1" applyBorder="1" applyAlignment="1">
      <alignment horizontal="left"/>
    </xf>
    <xf numFmtId="1" fontId="6" fillId="0" borderId="1" xfId="0" applyNumberFormat="1" applyFont="1" applyBorder="1" applyAlignment="1"/>
    <xf numFmtId="1" fontId="0" fillId="0" borderId="1" xfId="0" applyNumberFormat="1" applyFont="1" applyBorder="1" applyAlignment="1"/>
    <xf numFmtId="1" fontId="0" fillId="0" borderId="12" xfId="0" applyNumberFormat="1" applyBorder="1" applyAlignment="1"/>
    <xf numFmtId="1" fontId="3" fillId="0" borderId="13" xfId="0" applyNumberFormat="1" applyFont="1" applyBorder="1" applyAlignment="1">
      <alignment horizontal="center" vertical="center"/>
    </xf>
    <xf numFmtId="1" fontId="3" fillId="0" borderId="14" xfId="0" applyNumberFormat="1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1" fontId="1" fillId="0" borderId="15" xfId="0" applyNumberFormat="1" applyFont="1" applyBorder="1" applyAlignment="1">
      <alignment horizontal="left" vertical="center"/>
    </xf>
    <xf numFmtId="1" fontId="1" fillId="0" borderId="4" xfId="0" applyNumberFormat="1" applyFont="1" applyBorder="1" applyAlignment="1">
      <alignment horizontal="left" vertical="center"/>
    </xf>
    <xf numFmtId="1" fontId="3" fillId="0" borderId="16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 applyProtection="1">
      <alignment horizontal="center" vertical="center"/>
    </xf>
    <xf numFmtId="1" fontId="1" fillId="0" borderId="17" xfId="0" applyNumberFormat="1" applyFont="1" applyBorder="1" applyAlignment="1" applyProtection="1">
      <alignment horizontal="center" vertical="center" wrapText="1"/>
    </xf>
    <xf numFmtId="1" fontId="3" fillId="0" borderId="3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 applyProtection="1">
      <alignment horizontal="center" vertical="center"/>
    </xf>
    <xf numFmtId="1" fontId="1" fillId="0" borderId="19" xfId="0" applyNumberFormat="1" applyFont="1" applyBorder="1" applyAlignment="1" applyProtection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14" xfId="0" applyNumberFormat="1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1" fillId="0" borderId="20" xfId="0" applyNumberFormat="1" applyFon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69" fontId="3" fillId="0" borderId="2" xfId="0" applyNumberFormat="1" applyFont="1" applyBorder="1" applyAlignment="1">
      <alignment horizontal="center"/>
    </xf>
    <xf numFmtId="0" fontId="3" fillId="0" borderId="0" xfId="0" applyFont="1" applyAlignment="1"/>
    <xf numFmtId="1" fontId="3" fillId="0" borderId="21" xfId="0" applyNumberFormat="1" applyFont="1" applyBorder="1" applyAlignment="1">
      <alignment horizontal="center"/>
    </xf>
    <xf numFmtId="3" fontId="1" fillId="0" borderId="22" xfId="0" applyNumberFormat="1" applyFont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169" fontId="0" fillId="0" borderId="24" xfId="0" applyNumberFormat="1" applyBorder="1" applyAlignment="1">
      <alignment horizontal="center"/>
    </xf>
    <xf numFmtId="1" fontId="3" fillId="0" borderId="25" xfId="0" applyNumberFormat="1" applyFont="1" applyBorder="1" applyAlignment="1">
      <alignment horizontal="center"/>
    </xf>
    <xf numFmtId="3" fontId="1" fillId="0" borderId="19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9" fontId="0" fillId="0" borderId="26" xfId="0" applyNumberFormat="1" applyBorder="1" applyAlignment="1">
      <alignment horizontal="center"/>
    </xf>
    <xf numFmtId="1" fontId="1" fillId="0" borderId="14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169" fontId="1" fillId="0" borderId="15" xfId="0" applyNumberFormat="1" applyFont="1" applyBorder="1" applyAlignment="1">
      <alignment horizontal="center"/>
    </xf>
    <xf numFmtId="169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0" fillId="0" borderId="0" xfId="0" applyNumberFormat="1" applyBorder="1"/>
    <xf numFmtId="3" fontId="0" fillId="0" borderId="14" xfId="0" applyNumberFormat="1" applyBorder="1" applyAlignment="1">
      <alignment horizontal="center"/>
    </xf>
    <xf numFmtId="169" fontId="0" fillId="0" borderId="2" xfId="0" applyNumberFormat="1" applyBorder="1" applyAlignment="1">
      <alignment horizontal="center"/>
    </xf>
    <xf numFmtId="168" fontId="3" fillId="0" borderId="0" xfId="1" applyNumberFormat="1" applyFont="1" applyBorder="1" applyAlignment="1" applyProtection="1"/>
    <xf numFmtId="168" fontId="1" fillId="0" borderId="0" xfId="1" applyNumberFormat="1" applyFont="1" applyBorder="1" applyAlignment="1" applyProtection="1"/>
    <xf numFmtId="168" fontId="3" fillId="5" borderId="0" xfId="1" applyNumberFormat="1" applyFont="1" applyFill="1" applyBorder="1" applyAlignment="1" applyProtection="1"/>
    <xf numFmtId="171" fontId="3" fillId="0" borderId="0" xfId="1" applyNumberFormat="1" applyFont="1" applyBorder="1" applyAlignment="1" applyProtection="1"/>
    <xf numFmtId="168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9AE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389880</xdr:colOff>
      <xdr:row>58</xdr:row>
      <xdr:rowOff>18360</xdr:rowOff>
    </xdr:to>
    <xdr:sp macro="" textlink="">
      <xdr:nvSpPr>
        <xdr:cNvPr id="2" name="CustomShape 1" hidden="1"/>
        <xdr:cNvSpPr/>
      </xdr:nvSpPr>
      <xdr:spPr>
        <a:xfrm>
          <a:off x="0" y="0"/>
          <a:ext cx="10055160" cy="95241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19050</xdr:rowOff>
    </xdr:to>
    <xdr:sp macro="" textlink="">
      <xdr:nvSpPr>
        <xdr:cNvPr id="1026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://C:/E:/C:/T17/T17%20INTERFACE%20v1_9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nForms"/>
      <sheetName val="RoadInfo"/>
      <sheetName val="Road Strip Map"/>
      <sheetName val="LLHwsht"/>
      <sheetName val="RODwsht"/>
      <sheetName val="OBSwsht"/>
      <sheetName val="TRFwsht"/>
      <sheetName val="Dir1_IntObs"/>
      <sheetName val="Dir2_IntObs"/>
      <sheetName val="Chart_Prof_85"/>
      <sheetName val="Chart_Prof_ALT"/>
      <sheetName val="Chart_Prof_SD"/>
      <sheetName val="ChartRODdata"/>
      <sheetName val="GIFcontainer"/>
      <sheetName val="Dir1_PFoll_Speed"/>
      <sheetName val="Dir2_PFoll_Speed"/>
      <sheetName val="Chart_MSP"/>
      <sheetName val="Chart_IntObs"/>
      <sheetName val="Chart_PFoll"/>
      <sheetName val="ChartData"/>
      <sheetName val="Model_Output"/>
      <sheetName val="Average"/>
      <sheetName val="Formatted_Averages"/>
      <sheetName val="Formatted_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49"/>
  <sheetViews>
    <sheetView tabSelected="1" zoomScaleNormal="100" workbookViewId="0"/>
  </sheetViews>
  <sheetFormatPr defaultRowHeight="12.75" x14ac:dyDescent="0.2"/>
  <cols>
    <col min="1" max="1" width="5.140625" style="1" customWidth="1"/>
    <col min="2" max="2" width="89.28515625" style="2" customWidth="1"/>
    <col min="3" max="1025" width="8.7109375" style="1" customWidth="1"/>
  </cols>
  <sheetData>
    <row r="1" spans="1:2" s="3" customFormat="1" ht="15.75" x14ac:dyDescent="0.2">
      <c r="B1" s="4" t="s">
        <v>0</v>
      </c>
    </row>
    <row r="2" spans="1:2" s="3" customFormat="1" x14ac:dyDescent="0.2">
      <c r="A2" s="3" t="s">
        <v>1</v>
      </c>
      <c r="B2" s="5">
        <v>43272</v>
      </c>
    </row>
    <row r="3" spans="1:2" s="3" customFormat="1" x14ac:dyDescent="0.2">
      <c r="A3" s="3" t="s">
        <v>2</v>
      </c>
      <c r="B3" s="6" t="s">
        <v>3</v>
      </c>
    </row>
    <row r="4" spans="1:2" ht="38.25" x14ac:dyDescent="0.2">
      <c r="A4" s="1">
        <v>1</v>
      </c>
      <c r="B4" s="7" t="s">
        <v>4</v>
      </c>
    </row>
    <row r="5" spans="1:2" x14ac:dyDescent="0.2">
      <c r="A5" s="1">
        <v>2</v>
      </c>
      <c r="B5" s="7" t="s">
        <v>5</v>
      </c>
    </row>
    <row r="6" spans="1:2" x14ac:dyDescent="0.2">
      <c r="A6" s="1">
        <v>3</v>
      </c>
      <c r="B6" s="7" t="s">
        <v>6</v>
      </c>
    </row>
    <row r="7" spans="1:2" x14ac:dyDescent="0.2">
      <c r="A7" s="1">
        <v>4</v>
      </c>
      <c r="B7" s="7" t="s">
        <v>7</v>
      </c>
    </row>
    <row r="8" spans="1:2" ht="25.5" x14ac:dyDescent="0.2">
      <c r="A8" s="1">
        <v>5</v>
      </c>
      <c r="B8" s="7" t="s">
        <v>8</v>
      </c>
    </row>
    <row r="9" spans="1:2" ht="25.5" x14ac:dyDescent="0.2">
      <c r="A9" s="1">
        <v>6</v>
      </c>
      <c r="B9" s="7" t="s">
        <v>9</v>
      </c>
    </row>
    <row r="10" spans="1:2" x14ac:dyDescent="0.2">
      <c r="A10" s="1">
        <v>7</v>
      </c>
      <c r="B10" s="7" t="s">
        <v>10</v>
      </c>
    </row>
    <row r="11" spans="1:2" x14ac:dyDescent="0.2">
      <c r="A11" s="1">
        <v>8</v>
      </c>
      <c r="B11" s="7" t="s">
        <v>11</v>
      </c>
    </row>
    <row r="16" spans="1:2" x14ac:dyDescent="0.2">
      <c r="A16" s="3" t="s">
        <v>12</v>
      </c>
    </row>
    <row r="17" spans="1:2" x14ac:dyDescent="0.2">
      <c r="B17" s="7" t="s">
        <v>13</v>
      </c>
    </row>
    <row r="18" spans="1:2" x14ac:dyDescent="0.2">
      <c r="B18" s="7" t="s">
        <v>14</v>
      </c>
    </row>
    <row r="19" spans="1:2" x14ac:dyDescent="0.2">
      <c r="B19" s="7" t="s">
        <v>15</v>
      </c>
    </row>
    <row r="20" spans="1:2" x14ac:dyDescent="0.2">
      <c r="B20" s="7" t="s">
        <v>16</v>
      </c>
    </row>
    <row r="21" spans="1:2" x14ac:dyDescent="0.2">
      <c r="B21" s="7" t="s">
        <v>17</v>
      </c>
    </row>
    <row r="22" spans="1:2" x14ac:dyDescent="0.2">
      <c r="B22" s="7" t="s">
        <v>18</v>
      </c>
    </row>
    <row r="23" spans="1:2" x14ac:dyDescent="0.2">
      <c r="B23" s="7" t="s">
        <v>19</v>
      </c>
    </row>
    <row r="24" spans="1:2" x14ac:dyDescent="0.2">
      <c r="B24" s="7" t="s">
        <v>20</v>
      </c>
    </row>
    <row r="25" spans="1:2" x14ac:dyDescent="0.2">
      <c r="B25" s="7" t="s">
        <v>21</v>
      </c>
    </row>
    <row r="30" spans="1:2" x14ac:dyDescent="0.2">
      <c r="A30" s="3" t="s">
        <v>22</v>
      </c>
    </row>
    <row r="31" spans="1:2" x14ac:dyDescent="0.2">
      <c r="B31" s="7" t="s">
        <v>23</v>
      </c>
    </row>
    <row r="32" spans="1:2" x14ac:dyDescent="0.2">
      <c r="B32" s="7" t="s">
        <v>24</v>
      </c>
    </row>
    <row r="33" spans="1:2" x14ac:dyDescent="0.2">
      <c r="B33" s="7" t="s">
        <v>25</v>
      </c>
    </row>
    <row r="34" spans="1:2" x14ac:dyDescent="0.2">
      <c r="B34" s="7" t="s">
        <v>26</v>
      </c>
    </row>
    <row r="35" spans="1:2" x14ac:dyDescent="0.2">
      <c r="B35" s="7" t="s">
        <v>27</v>
      </c>
    </row>
    <row r="36" spans="1:2" x14ac:dyDescent="0.2">
      <c r="B36" s="7" t="s">
        <v>28</v>
      </c>
    </row>
    <row r="37" spans="1:2" x14ac:dyDescent="0.2">
      <c r="B37" s="6" t="s">
        <v>29</v>
      </c>
    </row>
    <row r="38" spans="1:2" x14ac:dyDescent="0.2">
      <c r="B38" s="7" t="s">
        <v>30</v>
      </c>
    </row>
    <row r="39" spans="1:2" x14ac:dyDescent="0.2">
      <c r="B39" s="7" t="s">
        <v>31</v>
      </c>
    </row>
    <row r="40" spans="1:2" x14ac:dyDescent="0.2">
      <c r="B40" s="7" t="s">
        <v>32</v>
      </c>
    </row>
    <row r="41" spans="1:2" x14ac:dyDescent="0.2">
      <c r="B41" s="7" t="s">
        <v>33</v>
      </c>
    </row>
    <row r="46" spans="1:2" x14ac:dyDescent="0.2">
      <c r="A46" s="3" t="s">
        <v>34</v>
      </c>
    </row>
    <row r="47" spans="1:2" x14ac:dyDescent="0.2">
      <c r="B47" s="7" t="s">
        <v>35</v>
      </c>
    </row>
    <row r="48" spans="1:2" x14ac:dyDescent="0.2">
      <c r="B48" s="7" t="s">
        <v>36</v>
      </c>
    </row>
    <row r="49" spans="2:2" x14ac:dyDescent="0.2">
      <c r="B49" s="7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3"/>
  <sheetViews>
    <sheetView zoomScaleNormal="100" workbookViewId="0"/>
  </sheetViews>
  <sheetFormatPr defaultRowHeight="12.75" x14ac:dyDescent="0.2"/>
  <cols>
    <col min="1" max="1" width="13.28515625" customWidth="1"/>
    <col min="2" max="1025" width="9.140625" customWidth="1"/>
  </cols>
  <sheetData>
    <row r="1" spans="1:2" x14ac:dyDescent="0.2">
      <c r="A1" s="8" t="s">
        <v>38</v>
      </c>
    </row>
    <row r="3" spans="1:2" x14ac:dyDescent="0.2">
      <c r="A3" t="s">
        <v>39</v>
      </c>
      <c r="B3">
        <v>1</v>
      </c>
    </row>
    <row r="4" spans="1:2" x14ac:dyDescent="0.2">
      <c r="A4" t="s">
        <v>40</v>
      </c>
      <c r="B4" s="9">
        <v>10000</v>
      </c>
    </row>
    <row r="5" spans="1:2" x14ac:dyDescent="0.2">
      <c r="A5" s="8" t="s">
        <v>41</v>
      </c>
      <c r="B5" s="10">
        <v>17656</v>
      </c>
    </row>
    <row r="6" spans="1:2" x14ac:dyDescent="0.2">
      <c r="A6" t="s">
        <v>42</v>
      </c>
      <c r="B6">
        <v>0</v>
      </c>
    </row>
    <row r="7" spans="1:2" x14ac:dyDescent="0.2">
      <c r="A7" t="s">
        <v>43</v>
      </c>
      <c r="B7">
        <v>100</v>
      </c>
    </row>
    <row r="8" spans="1:2" x14ac:dyDescent="0.2">
      <c r="A8" t="s">
        <v>44</v>
      </c>
      <c r="B8">
        <v>100</v>
      </c>
    </row>
    <row r="9" spans="1:2" x14ac:dyDescent="0.2">
      <c r="A9" s="8" t="s">
        <v>45</v>
      </c>
      <c r="B9" s="9">
        <v>50</v>
      </c>
    </row>
    <row r="10" spans="1:2" x14ac:dyDescent="0.2">
      <c r="A10" s="8" t="s">
        <v>46</v>
      </c>
      <c r="B10" s="9">
        <v>50</v>
      </c>
    </row>
    <row r="11" spans="1:2" x14ac:dyDescent="0.2">
      <c r="A11" t="s">
        <v>47</v>
      </c>
      <c r="B11">
        <v>6</v>
      </c>
    </row>
    <row r="12" spans="1:2" x14ac:dyDescent="0.2">
      <c r="A12" t="s">
        <v>48</v>
      </c>
    </row>
    <row r="13" spans="1:2" x14ac:dyDescent="0.2">
      <c r="A13" t="s">
        <v>49</v>
      </c>
      <c r="B13">
        <v>0</v>
      </c>
    </row>
    <row r="16" spans="1:2" x14ac:dyDescent="0.2">
      <c r="A16" s="8" t="s">
        <v>50</v>
      </c>
      <c r="B16" s="9" t="s">
        <v>51</v>
      </c>
    </row>
    <row r="19" spans="1:6" x14ac:dyDescent="0.2">
      <c r="A19" s="8" t="s">
        <v>52</v>
      </c>
      <c r="B19" s="8" t="s">
        <v>53</v>
      </c>
      <c r="C19" s="8" t="s">
        <v>54</v>
      </c>
    </row>
    <row r="20" spans="1:6" x14ac:dyDescent="0.2">
      <c r="A20" s="11" t="s">
        <v>55</v>
      </c>
      <c r="B20" s="11" t="s">
        <v>56</v>
      </c>
      <c r="C20" s="11" t="s">
        <v>57</v>
      </c>
    </row>
    <row r="21" spans="1:6" x14ac:dyDescent="0.2">
      <c r="A21" s="11" t="s">
        <v>58</v>
      </c>
      <c r="B21" s="11" t="s">
        <v>59</v>
      </c>
      <c r="C21" s="11" t="s">
        <v>57</v>
      </c>
    </row>
    <row r="24" spans="1:6" x14ac:dyDescent="0.2">
      <c r="A24" s="8" t="s">
        <v>60</v>
      </c>
      <c r="B24" s="8" t="s">
        <v>61</v>
      </c>
      <c r="C24" s="8" t="s">
        <v>62</v>
      </c>
      <c r="D24" s="8" t="s">
        <v>63</v>
      </c>
      <c r="E24" s="8" t="s">
        <v>64</v>
      </c>
    </row>
    <row r="25" spans="1:6" x14ac:dyDescent="0.2">
      <c r="A25" s="12" t="str">
        <f>DIR1count!B14</f>
        <v>0000-0100</v>
      </c>
      <c r="B25" s="9" t="s">
        <v>65</v>
      </c>
      <c r="C25" s="13">
        <f t="shared" ref="C25:C48" si="0">SUM(D25:E25)</f>
        <v>0</v>
      </c>
      <c r="D25" s="14">
        <f>SUM(DIR1count!C14:N14)</f>
        <v>0</v>
      </c>
      <c r="E25" s="14">
        <f>SUM(DIR2count!C14:N14)</f>
        <v>0</v>
      </c>
      <c r="F25" s="15"/>
    </row>
    <row r="26" spans="1:6" x14ac:dyDescent="0.2">
      <c r="A26" s="12" t="str">
        <f>DIR1count!B15</f>
        <v>0100-0200</v>
      </c>
      <c r="B26" s="9" t="s">
        <v>65</v>
      </c>
      <c r="C26" s="13">
        <f t="shared" si="0"/>
        <v>0</v>
      </c>
      <c r="D26" s="14">
        <f>SUM(DIR1count!C15:N15)</f>
        <v>0</v>
      </c>
      <c r="E26" s="14">
        <f>SUM(DIR2count!C15:N15)</f>
        <v>0</v>
      </c>
    </row>
    <row r="27" spans="1:6" x14ac:dyDescent="0.2">
      <c r="A27" s="12" t="str">
        <f>DIR1count!B16</f>
        <v>0200-0300</v>
      </c>
      <c r="B27" s="9" t="s">
        <v>65</v>
      </c>
      <c r="C27" s="13">
        <f t="shared" si="0"/>
        <v>0</v>
      </c>
      <c r="D27" s="14">
        <f>SUM(DIR1count!C16:N16)</f>
        <v>0</v>
      </c>
      <c r="E27" s="14">
        <f>SUM(DIR2count!C16:N16)</f>
        <v>0</v>
      </c>
    </row>
    <row r="28" spans="1:6" x14ac:dyDescent="0.2">
      <c r="A28" s="12" t="str">
        <f>DIR1count!B17</f>
        <v>0300-0400</v>
      </c>
      <c r="B28" s="9" t="s">
        <v>65</v>
      </c>
      <c r="C28" s="13">
        <f t="shared" si="0"/>
        <v>0</v>
      </c>
      <c r="D28" s="14">
        <f>SUM(DIR1count!C17:N17)</f>
        <v>0</v>
      </c>
      <c r="E28" s="14">
        <f>SUM(DIR2count!C17:N17)</f>
        <v>0</v>
      </c>
    </row>
    <row r="29" spans="1:6" x14ac:dyDescent="0.2">
      <c r="A29" s="12" t="str">
        <f>DIR1count!B18</f>
        <v>0400-0500</v>
      </c>
      <c r="B29" s="9" t="s">
        <v>65</v>
      </c>
      <c r="C29" s="13">
        <f t="shared" si="0"/>
        <v>0</v>
      </c>
      <c r="D29" s="14">
        <f>SUM(DIR1count!C18:N18)</f>
        <v>0</v>
      </c>
      <c r="E29" s="14">
        <f>SUM(DIR2count!C18:N18)</f>
        <v>0</v>
      </c>
    </row>
    <row r="30" spans="1:6" x14ac:dyDescent="0.2">
      <c r="A30" s="12" t="str">
        <f>DIR1count!B19</f>
        <v>0500-0600</v>
      </c>
      <c r="B30" s="9" t="s">
        <v>65</v>
      </c>
      <c r="C30" s="13">
        <f t="shared" si="0"/>
        <v>0</v>
      </c>
      <c r="D30" s="14">
        <f>SUM(DIR1count!C19:N19)</f>
        <v>0</v>
      </c>
      <c r="E30" s="14">
        <f>SUM(DIR2count!C19:N19)</f>
        <v>0</v>
      </c>
    </row>
    <row r="31" spans="1:6" x14ac:dyDescent="0.2">
      <c r="A31" s="12" t="str">
        <f>DIR1count!B20</f>
        <v>0600-0700</v>
      </c>
      <c r="B31" s="9" t="s">
        <v>66</v>
      </c>
      <c r="C31" s="15">
        <f t="shared" si="0"/>
        <v>0</v>
      </c>
      <c r="D31" s="14">
        <f>SUM(DIR1count!C20:N20)</f>
        <v>0</v>
      </c>
      <c r="E31" s="14">
        <f>SUM(DIR2count!C20:N20)</f>
        <v>0</v>
      </c>
    </row>
    <row r="32" spans="1:6" x14ac:dyDescent="0.2">
      <c r="A32" s="12" t="str">
        <f>DIR1count!B21</f>
        <v>0700-0800</v>
      </c>
      <c r="B32" s="9" t="s">
        <v>66</v>
      </c>
      <c r="C32" s="15">
        <f t="shared" si="0"/>
        <v>0</v>
      </c>
      <c r="D32" s="14">
        <f>SUM(DIR1count!C21:N21)</f>
        <v>0</v>
      </c>
      <c r="E32" s="14">
        <f>SUM(DIR2count!C21:N21)</f>
        <v>0</v>
      </c>
    </row>
    <row r="33" spans="1:5" x14ac:dyDescent="0.2">
      <c r="A33" s="12" t="str">
        <f>DIR1count!B22</f>
        <v>0800-0900</v>
      </c>
      <c r="B33" s="9" t="s">
        <v>66</v>
      </c>
      <c r="C33" s="15">
        <f t="shared" si="0"/>
        <v>0</v>
      </c>
      <c r="D33" s="14">
        <f>SUM(DIR1count!C22:N22)</f>
        <v>0</v>
      </c>
      <c r="E33" s="14">
        <f>SUM(DIR2count!C22:N22)</f>
        <v>0</v>
      </c>
    </row>
    <row r="34" spans="1:5" x14ac:dyDescent="0.2">
      <c r="A34" s="12" t="str">
        <f>DIR1count!B23</f>
        <v>0900-1000</v>
      </c>
      <c r="B34" s="9" t="s">
        <v>66</v>
      </c>
      <c r="C34" s="15">
        <f t="shared" si="0"/>
        <v>0</v>
      </c>
      <c r="D34" s="14">
        <f>SUM(DIR1count!C23:N23)</f>
        <v>0</v>
      </c>
      <c r="E34" s="14">
        <f>SUM(DIR2count!C23:N23)</f>
        <v>0</v>
      </c>
    </row>
    <row r="35" spans="1:5" x14ac:dyDescent="0.2">
      <c r="A35" s="12" t="str">
        <f>DIR1count!B24</f>
        <v>1000-1100</v>
      </c>
      <c r="B35" s="9" t="s">
        <v>66</v>
      </c>
      <c r="C35" s="15">
        <f t="shared" si="0"/>
        <v>0</v>
      </c>
      <c r="D35" s="14">
        <f>SUM(DIR1count!C24:N24)</f>
        <v>0</v>
      </c>
      <c r="E35" s="14">
        <f>SUM(DIR2count!C24:N24)</f>
        <v>0</v>
      </c>
    </row>
    <row r="36" spans="1:5" x14ac:dyDescent="0.2">
      <c r="A36" s="12" t="str">
        <f>DIR1count!B25</f>
        <v>1100-1200</v>
      </c>
      <c r="B36" s="16" t="s">
        <v>67</v>
      </c>
      <c r="C36" s="17">
        <f t="shared" si="0"/>
        <v>0</v>
      </c>
      <c r="D36" s="14">
        <f>SUM(DIR1count!C25:N25)</f>
        <v>0</v>
      </c>
      <c r="E36" s="14">
        <f>SUM(DIR2count!C25:N25)</f>
        <v>0</v>
      </c>
    </row>
    <row r="37" spans="1:5" x14ac:dyDescent="0.2">
      <c r="A37" s="12" t="str">
        <f>DIR1count!B26</f>
        <v>1200-1300</v>
      </c>
      <c r="B37" s="9" t="s">
        <v>68</v>
      </c>
      <c r="C37" s="18">
        <f t="shared" si="0"/>
        <v>0</v>
      </c>
      <c r="D37" s="14">
        <f>SUM(DIR1count!C26:N26)</f>
        <v>0</v>
      </c>
      <c r="E37" s="14">
        <f>SUM(DIR2count!C26:N26)</f>
        <v>0</v>
      </c>
    </row>
    <row r="38" spans="1:5" x14ac:dyDescent="0.2">
      <c r="A38" s="12" t="str">
        <f>DIR1count!B27</f>
        <v>1300-1400</v>
      </c>
      <c r="B38" s="9" t="s">
        <v>66</v>
      </c>
      <c r="C38" s="15">
        <f t="shared" si="0"/>
        <v>0</v>
      </c>
      <c r="D38" s="14">
        <f>SUM(DIR1count!C27:N27)</f>
        <v>0</v>
      </c>
      <c r="E38" s="14">
        <f>SUM(DIR2count!C27:N27)</f>
        <v>0</v>
      </c>
    </row>
    <row r="39" spans="1:5" x14ac:dyDescent="0.2">
      <c r="A39" s="12" t="str">
        <f>DIR1count!B28</f>
        <v>1400-1500</v>
      </c>
      <c r="B39" s="9" t="s">
        <v>66</v>
      </c>
      <c r="C39" s="15">
        <f t="shared" si="0"/>
        <v>0</v>
      </c>
      <c r="D39" s="14">
        <f>SUM(DIR1count!C28:N28)</f>
        <v>0</v>
      </c>
      <c r="E39" s="14">
        <f>SUM(DIR2count!C28:N28)</f>
        <v>0</v>
      </c>
    </row>
    <row r="40" spans="1:5" x14ac:dyDescent="0.2">
      <c r="A40" s="12" t="str">
        <f>DIR1count!B29</f>
        <v>1500-1600</v>
      </c>
      <c r="B40" s="9" t="s">
        <v>66</v>
      </c>
      <c r="C40" s="15">
        <f t="shared" si="0"/>
        <v>0</v>
      </c>
      <c r="D40" s="14">
        <f>SUM(DIR1count!C29:N29)</f>
        <v>0</v>
      </c>
      <c r="E40" s="14">
        <f>SUM(DIR2count!C29:N29)</f>
        <v>0</v>
      </c>
    </row>
    <row r="41" spans="1:5" x14ac:dyDescent="0.2">
      <c r="A41" s="12" t="str">
        <f>DIR1count!B30</f>
        <v>1600-1700</v>
      </c>
      <c r="B41" s="9" t="s">
        <v>66</v>
      </c>
      <c r="C41" s="15">
        <f t="shared" si="0"/>
        <v>0</v>
      </c>
      <c r="D41" s="14">
        <f>SUM(DIR1count!C30:N30)</f>
        <v>0</v>
      </c>
      <c r="E41" s="14">
        <f>SUM(DIR2count!C30:N30)</f>
        <v>0</v>
      </c>
    </row>
    <row r="42" spans="1:5" x14ac:dyDescent="0.2">
      <c r="A42" s="12" t="str">
        <f>DIR1count!B31</f>
        <v>1700-1800</v>
      </c>
      <c r="B42" s="9" t="s">
        <v>66</v>
      </c>
      <c r="C42" s="15">
        <f t="shared" si="0"/>
        <v>0</v>
      </c>
      <c r="D42" s="14">
        <f>SUM(DIR1count!C31:N31)</f>
        <v>0</v>
      </c>
      <c r="E42" s="14">
        <f>SUM(DIR2count!C31:N31)</f>
        <v>0</v>
      </c>
    </row>
    <row r="43" spans="1:5" x14ac:dyDescent="0.2">
      <c r="A43" s="12" t="str">
        <f>DIR1count!B32</f>
        <v>1800-1900</v>
      </c>
      <c r="B43" s="9" t="s">
        <v>65</v>
      </c>
      <c r="C43" s="13">
        <f t="shared" si="0"/>
        <v>0</v>
      </c>
      <c r="D43" s="14">
        <f>SUM(DIR1count!C32:N32)</f>
        <v>0</v>
      </c>
      <c r="E43" s="14">
        <f>SUM(DIR2count!C32:N32)</f>
        <v>0</v>
      </c>
    </row>
    <row r="44" spans="1:5" x14ac:dyDescent="0.2">
      <c r="A44" s="12" t="str">
        <f>DIR1count!B33</f>
        <v>1900-2000</v>
      </c>
      <c r="B44" s="9" t="s">
        <v>65</v>
      </c>
      <c r="C44" s="13">
        <f t="shared" si="0"/>
        <v>0</v>
      </c>
      <c r="D44" s="14">
        <f>SUM(DIR1count!C33:N33)</f>
        <v>0</v>
      </c>
      <c r="E44" s="14">
        <f>SUM(DIR2count!C33:N33)</f>
        <v>0</v>
      </c>
    </row>
    <row r="45" spans="1:5" x14ac:dyDescent="0.2">
      <c r="A45" s="12" t="str">
        <f>DIR1count!B34</f>
        <v>2000-2100</v>
      </c>
      <c r="B45" s="9" t="s">
        <v>65</v>
      </c>
      <c r="C45" s="13">
        <f t="shared" si="0"/>
        <v>0</v>
      </c>
      <c r="D45" s="14">
        <f>SUM(DIR1count!C34:N34)</f>
        <v>0</v>
      </c>
      <c r="E45" s="14">
        <f>SUM(DIR2count!C34:N34)</f>
        <v>0</v>
      </c>
    </row>
    <row r="46" spans="1:5" x14ac:dyDescent="0.2">
      <c r="A46" s="12" t="str">
        <f>DIR1count!B35</f>
        <v>2100-2200</v>
      </c>
      <c r="B46" s="9" t="s">
        <v>65</v>
      </c>
      <c r="C46" s="13">
        <f t="shared" si="0"/>
        <v>0</v>
      </c>
      <c r="D46" s="14">
        <f>SUM(DIR1count!C35:N35)</f>
        <v>0</v>
      </c>
      <c r="E46" s="14">
        <f>SUM(DIR2count!C35:N35)</f>
        <v>0</v>
      </c>
    </row>
    <row r="47" spans="1:5" x14ac:dyDescent="0.2">
      <c r="A47" s="12" t="str">
        <f>DIR1count!B36</f>
        <v>2200-2300</v>
      </c>
      <c r="B47" s="9" t="s">
        <v>65</v>
      </c>
      <c r="C47" s="13">
        <f t="shared" si="0"/>
        <v>0</v>
      </c>
      <c r="D47" s="14">
        <f>SUM(DIR1count!C36:N36)</f>
        <v>0</v>
      </c>
      <c r="E47" s="14">
        <f>SUM(DIR2count!C36:N36)</f>
        <v>0</v>
      </c>
    </row>
    <row r="48" spans="1:5" x14ac:dyDescent="0.2">
      <c r="A48" s="12" t="str">
        <f>DIR1count!B37</f>
        <v>2300-2400</v>
      </c>
      <c r="B48" s="9" t="s">
        <v>65</v>
      </c>
      <c r="C48" s="13">
        <f t="shared" si="0"/>
        <v>0</v>
      </c>
      <c r="D48" s="14">
        <f>SUM(DIR1count!C37:N37)</f>
        <v>0</v>
      </c>
      <c r="E48" s="14">
        <f>SUM(DIR2count!C37:N37)</f>
        <v>0</v>
      </c>
    </row>
    <row r="49" spans="1:5" x14ac:dyDescent="0.2">
      <c r="C49" s="15">
        <f>SUM(C25:C48)</f>
        <v>0</v>
      </c>
      <c r="D49" s="15">
        <f>SUM(D25:D48)</f>
        <v>0</v>
      </c>
      <c r="E49" s="15">
        <f>SUM(E25:E48)</f>
        <v>0</v>
      </c>
    </row>
    <row r="50" spans="1:5" x14ac:dyDescent="0.2">
      <c r="C50" s="15"/>
      <c r="D50" s="15"/>
      <c r="E50" s="15"/>
    </row>
    <row r="51" spans="1:5" x14ac:dyDescent="0.2">
      <c r="A51" t="s">
        <v>69</v>
      </c>
      <c r="C51" s="15"/>
      <c r="D51" s="15"/>
      <c r="E51" s="15"/>
    </row>
    <row r="52" spans="1:5" x14ac:dyDescent="0.2">
      <c r="A52" t="s">
        <v>70</v>
      </c>
      <c r="B52" s="19">
        <v>1.4999999999999999E-2</v>
      </c>
      <c r="C52" s="15"/>
      <c r="D52" s="15"/>
      <c r="E52" s="15"/>
    </row>
    <row r="54" spans="1:5" x14ac:dyDescent="0.2">
      <c r="A54" s="8" t="s">
        <v>71</v>
      </c>
      <c r="B54" s="8" t="s">
        <v>72</v>
      </c>
    </row>
    <row r="55" spans="1:5" x14ac:dyDescent="0.2">
      <c r="A55">
        <v>2018</v>
      </c>
      <c r="B55" s="20">
        <v>1</v>
      </c>
    </row>
    <row r="56" spans="1:5" x14ac:dyDescent="0.2">
      <c r="A56">
        <v>2033</v>
      </c>
      <c r="B56" s="21">
        <f>IF($A56,1+($A56-$A$55)*$B$52,0)</f>
        <v>1.2250000000000001</v>
      </c>
    </row>
    <row r="57" spans="1:5" x14ac:dyDescent="0.2">
      <c r="A57">
        <v>2048</v>
      </c>
      <c r="B57" s="21">
        <f>IF($A57,1+($A57-$A$55)*$B$52,0)</f>
        <v>1.45</v>
      </c>
      <c r="C57" s="22"/>
    </row>
    <row r="59" spans="1:5" x14ac:dyDescent="0.2">
      <c r="A59" s="8" t="s">
        <v>73</v>
      </c>
      <c r="B59" s="8" t="s">
        <v>74</v>
      </c>
      <c r="C59" s="8" t="s">
        <v>75</v>
      </c>
    </row>
    <row r="60" spans="1:5" x14ac:dyDescent="0.2">
      <c r="A60" t="s">
        <v>67</v>
      </c>
      <c r="B60">
        <f>COUNTIF($B$25:$B$48,$A60)</f>
        <v>1</v>
      </c>
      <c r="C60" s="9" t="s">
        <v>76</v>
      </c>
    </row>
    <row r="61" spans="1:5" x14ac:dyDescent="0.2">
      <c r="A61" t="s">
        <v>68</v>
      </c>
      <c r="B61">
        <f>COUNTIF($B$25:$B$48,$A61)</f>
        <v>1</v>
      </c>
      <c r="C61" s="9" t="s">
        <v>77</v>
      </c>
    </row>
    <row r="62" spans="1:5" x14ac:dyDescent="0.2">
      <c r="A62" t="s">
        <v>66</v>
      </c>
      <c r="B62">
        <f>COUNTIF($B$25:$B$48,$A62)</f>
        <v>10</v>
      </c>
      <c r="C62" s="11" t="s">
        <v>78</v>
      </c>
    </row>
    <row r="63" spans="1:5" x14ac:dyDescent="0.2">
      <c r="A63" t="s">
        <v>65</v>
      </c>
      <c r="B63">
        <f>COUNTIF($B$25:$B$48,$A63)</f>
        <v>12</v>
      </c>
      <c r="C63" s="11" t="s">
        <v>79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N98"/>
  <sheetViews>
    <sheetView zoomScaleNormal="100" workbookViewId="0"/>
  </sheetViews>
  <sheetFormatPr defaultRowHeight="12.75" x14ac:dyDescent="0.2"/>
  <cols>
    <col min="1" max="1" width="18" customWidth="1"/>
    <col min="2" max="2" width="2.42578125" customWidth="1"/>
    <col min="3" max="14" width="14.5703125" customWidth="1"/>
    <col min="15" max="1025" width="8.7109375" customWidth="1"/>
  </cols>
  <sheetData>
    <row r="1" spans="1:14" ht="15.75" x14ac:dyDescent="0.25">
      <c r="A1" s="23" t="s">
        <v>80</v>
      </c>
    </row>
    <row r="3" spans="1:14" x14ac:dyDescent="0.2">
      <c r="A3" s="11" t="str">
        <f>TRFsetup!B16</f>
        <v>MRNoSec</v>
      </c>
      <c r="C3" s="24" t="str">
        <f>IF(C$4, $A$3&amp;"_"&amp;C$4&amp;TRFsetup!$A60, "")</f>
        <v>MRNoSec_2018A</v>
      </c>
      <c r="D3" s="24" t="str">
        <f>IF(D$4, $A$3&amp;"_"&amp;D$4&amp;TRFsetup!$A61, "")</f>
        <v>MRNoSec_2018P</v>
      </c>
      <c r="E3" s="24" t="str">
        <f>IF(E$4, $A$3&amp;"_"&amp;E$4&amp;TRFsetup!$A62, "")</f>
        <v>MRNoSec_2018D</v>
      </c>
      <c r="F3" s="24" t="str">
        <f>IF(F$4, $A$3&amp;"_"&amp;F$4&amp;TRFsetup!$A63, "")</f>
        <v>MRNoSec_2018N</v>
      </c>
      <c r="G3" s="24" t="str">
        <f>IF(G$4, $A$3&amp;"_"&amp;G$4&amp;TRFsetup!$A60, "")</f>
        <v>MRNoSec_2033A</v>
      </c>
      <c r="H3" s="24" t="str">
        <f>IF(H$4, $A$3&amp;"_"&amp;H$4&amp;TRFsetup!$A61, "")</f>
        <v>MRNoSec_2033P</v>
      </c>
      <c r="I3" s="24" t="str">
        <f>IF(I$4, $A$3&amp;"_"&amp;I$4&amp;TRFsetup!$A62, "")</f>
        <v>MRNoSec_2033D</v>
      </c>
      <c r="J3" s="24" t="str">
        <f>IF(J$4, $A$3&amp;"_"&amp;J$4&amp;TRFsetup!$A63, "")</f>
        <v>MRNoSec_2033N</v>
      </c>
      <c r="K3" s="24" t="str">
        <f>IF(K$4, $A$3&amp;"_"&amp;K$4&amp;TRFsetup!$A60, "")</f>
        <v>MRNoSec_2048A</v>
      </c>
      <c r="L3" s="24" t="str">
        <f>IF(L$4, $A$3&amp;"_"&amp;L$4&amp;TRFsetup!$A61, "")</f>
        <v>MRNoSec_2048P</v>
      </c>
      <c r="M3" s="24" t="str">
        <f>IF(M$4, $A$3&amp;"_"&amp;M$4&amp;TRFsetup!$A62, "")</f>
        <v>MRNoSec_2048D</v>
      </c>
      <c r="N3" s="24" t="str">
        <f>IF(N$4, $A$3&amp;"_"&amp;N$4&amp;TRFsetup!$A63, "")</f>
        <v>MRNoSec_2048N</v>
      </c>
    </row>
    <row r="4" spans="1:14" x14ac:dyDescent="0.2">
      <c r="A4" t="s">
        <v>81</v>
      </c>
      <c r="C4" s="25">
        <f>TRFsetup!$A$55</f>
        <v>2018</v>
      </c>
      <c r="D4" s="25">
        <f>TRFsetup!$A$55</f>
        <v>2018</v>
      </c>
      <c r="E4" s="25">
        <f>TRFsetup!$A$55</f>
        <v>2018</v>
      </c>
      <c r="F4" s="25">
        <f>TRFsetup!$A$55</f>
        <v>2018</v>
      </c>
      <c r="G4" s="26">
        <f>TRFsetup!$A$56</f>
        <v>2033</v>
      </c>
      <c r="H4" s="26">
        <f>TRFsetup!$A$56</f>
        <v>2033</v>
      </c>
      <c r="I4" s="26">
        <f>TRFsetup!$A$56</f>
        <v>2033</v>
      </c>
      <c r="J4" s="26">
        <f>TRFsetup!$A$56</f>
        <v>2033</v>
      </c>
      <c r="K4" s="25">
        <f>TRFsetup!$A$57</f>
        <v>2048</v>
      </c>
      <c r="L4" s="25">
        <f>TRFsetup!$A$57</f>
        <v>2048</v>
      </c>
      <c r="M4" s="25">
        <f>TRFsetup!$A$57</f>
        <v>2048</v>
      </c>
      <c r="N4" s="25">
        <f>TRFsetup!$A$57</f>
        <v>2048</v>
      </c>
    </row>
    <row r="5" spans="1:14" x14ac:dyDescent="0.2">
      <c r="A5" s="11" t="s">
        <v>72</v>
      </c>
      <c r="C5" s="27">
        <f>TRFsetup!$B$55</f>
        <v>1</v>
      </c>
      <c r="D5" s="27">
        <f>TRFsetup!$B$55</f>
        <v>1</v>
      </c>
      <c r="E5" s="27">
        <f>TRFsetup!$B$55</f>
        <v>1</v>
      </c>
      <c r="F5" s="27">
        <f>TRFsetup!$B$55</f>
        <v>1</v>
      </c>
      <c r="G5" s="27">
        <f>TRFsetup!$B$56</f>
        <v>1.2250000000000001</v>
      </c>
      <c r="H5" s="27">
        <f>TRFsetup!$B$56</f>
        <v>1.2250000000000001</v>
      </c>
      <c r="I5" s="27">
        <f>TRFsetup!$B$56</f>
        <v>1.2250000000000001</v>
      </c>
      <c r="J5" s="27">
        <f>TRFsetup!$B$56</f>
        <v>1.2250000000000001</v>
      </c>
      <c r="K5" s="27">
        <f>TRFsetup!$B$57</f>
        <v>1.45</v>
      </c>
      <c r="L5" s="27">
        <f>TRFsetup!$B$57</f>
        <v>1.45</v>
      </c>
      <c r="M5" s="27">
        <f>TRFsetup!$B$57</f>
        <v>1.45</v>
      </c>
      <c r="N5" s="27">
        <f>TRFsetup!$B$57</f>
        <v>1.45</v>
      </c>
    </row>
    <row r="6" spans="1:14" x14ac:dyDescent="0.2">
      <c r="E6" s="28"/>
      <c r="G6" s="29"/>
      <c r="H6" s="28"/>
      <c r="I6" s="30"/>
      <c r="L6" s="28"/>
      <c r="M6" s="30"/>
    </row>
    <row r="7" spans="1:14" x14ac:dyDescent="0.2">
      <c r="E7" s="28"/>
      <c r="G7" s="29"/>
      <c r="H7" s="28"/>
      <c r="I7" s="30"/>
      <c r="L7" s="28"/>
      <c r="M7" s="30"/>
    </row>
    <row r="8" spans="1:14" x14ac:dyDescent="0.2">
      <c r="A8" s="31" t="s">
        <v>82</v>
      </c>
      <c r="B8" s="32"/>
      <c r="C8" s="33">
        <f t="array" ref="C8">SUM(IF(TRFsetup!$B$25:$B$48="A",DIR1count!$C$14:$C$37))*C$5/C$15</f>
        <v>0</v>
      </c>
      <c r="D8" s="33">
        <f t="array" ref="D8">SUM(IF(TRFsetup!$B$25:$B$48="P",DIR1count!$C$14:$C$37))*D$5/D$15</f>
        <v>0</v>
      </c>
      <c r="E8" s="33">
        <f t="array" ref="E8">SUM(IF(TRFsetup!$B$25:$B$48="D",DIR1count!$C$14:$C$37))*E$5/E$15</f>
        <v>0</v>
      </c>
      <c r="F8" s="33">
        <f t="array" ref="F8">SUM(IF(TRFsetup!$B$25:$B$48="N",DIR1count!$C$14:$C$37))*F$5/F$15</f>
        <v>0</v>
      </c>
      <c r="G8" s="34">
        <f t="shared" ref="G8:J13" si="0">C8*$G$5</f>
        <v>0</v>
      </c>
      <c r="H8" s="34">
        <f t="shared" si="0"/>
        <v>0</v>
      </c>
      <c r="I8" s="34">
        <f t="shared" si="0"/>
        <v>0</v>
      </c>
      <c r="J8" s="34">
        <f t="shared" si="0"/>
        <v>0</v>
      </c>
      <c r="K8" s="34">
        <f t="shared" ref="K8:N13" si="1">C8*$K$5</f>
        <v>0</v>
      </c>
      <c r="L8" s="34">
        <f t="shared" si="1"/>
        <v>0</v>
      </c>
      <c r="M8" s="34">
        <f t="shared" si="1"/>
        <v>0</v>
      </c>
      <c r="N8" s="34">
        <f t="shared" si="1"/>
        <v>0</v>
      </c>
    </row>
    <row r="9" spans="1:14" x14ac:dyDescent="0.2">
      <c r="A9" s="35" t="s">
        <v>83</v>
      </c>
      <c r="B9" s="36"/>
      <c r="C9" s="33">
        <f t="array" ref="C9">SUM(IF(TRFsetup!$B$25:$B$48="A",DIR1count!$D$14:$D$37))*C$5/C$15</f>
        <v>0</v>
      </c>
      <c r="D9" s="33">
        <f t="array" ref="D9">SUM(IF(TRFsetup!$B$25:$B$48="P",DIR1count!$D$14:$D$37))*D$5/D$15</f>
        <v>0</v>
      </c>
      <c r="E9" s="33">
        <f t="array" ref="E9">SUM(IF(TRFsetup!$B$25:$B$48="D",DIR1count!$D$14:$D$37))*E$5/E$15</f>
        <v>0</v>
      </c>
      <c r="F9" s="33">
        <f t="array" ref="F9">SUM(IF(TRFsetup!$B$25:$B$48="N",DIR1count!$D$14:$D$37))*F$5/F$15</f>
        <v>0</v>
      </c>
      <c r="G9" s="34">
        <f t="shared" si="0"/>
        <v>0</v>
      </c>
      <c r="H9" s="34">
        <f t="shared" si="0"/>
        <v>0</v>
      </c>
      <c r="I9" s="34">
        <f t="shared" si="0"/>
        <v>0</v>
      </c>
      <c r="J9" s="34">
        <f t="shared" si="0"/>
        <v>0</v>
      </c>
      <c r="K9" s="34">
        <f t="shared" si="1"/>
        <v>0</v>
      </c>
      <c r="L9" s="34">
        <f t="shared" si="1"/>
        <v>0</v>
      </c>
      <c r="M9" s="34">
        <f t="shared" si="1"/>
        <v>0</v>
      </c>
      <c r="N9" s="34">
        <f t="shared" si="1"/>
        <v>0</v>
      </c>
    </row>
    <row r="10" spans="1:14" x14ac:dyDescent="0.2">
      <c r="A10" s="35" t="s">
        <v>84</v>
      </c>
      <c r="B10" s="36"/>
      <c r="C10" s="33">
        <f t="array" ref="C10">SUM(IF(TRFsetup!$B$25:$B$48="A",DIR1count!$E$14:$G$37))*C$5/C$15</f>
        <v>0</v>
      </c>
      <c r="D10" s="33">
        <f t="array" ref="D10">SUM(IF(TRFsetup!$B$25:$B$48="P",DIR1count!$E$14:$G$37))*D$5/D$15</f>
        <v>0</v>
      </c>
      <c r="E10" s="33">
        <f t="array" ref="E10">SUM(IF(TRFsetup!$B$25:$B$48="D",DIR1count!$E$14:$G$37))*E$5/E$15</f>
        <v>0</v>
      </c>
      <c r="F10" s="33">
        <f t="array" ref="F10">SUM(IF(TRFsetup!$B$25:$B$48="N",DIR1count!$E$14:$G$37))*F$5/F$15</f>
        <v>0</v>
      </c>
      <c r="G10" s="34">
        <f t="shared" si="0"/>
        <v>0</v>
      </c>
      <c r="H10" s="34">
        <f t="shared" si="0"/>
        <v>0</v>
      </c>
      <c r="I10" s="34">
        <f t="shared" si="0"/>
        <v>0</v>
      </c>
      <c r="J10" s="34">
        <f t="shared" si="0"/>
        <v>0</v>
      </c>
      <c r="K10" s="34">
        <f t="shared" si="1"/>
        <v>0</v>
      </c>
      <c r="L10" s="34">
        <f t="shared" si="1"/>
        <v>0</v>
      </c>
      <c r="M10" s="34">
        <f t="shared" si="1"/>
        <v>0</v>
      </c>
      <c r="N10" s="34">
        <f t="shared" si="1"/>
        <v>0</v>
      </c>
    </row>
    <row r="11" spans="1:14" x14ac:dyDescent="0.2">
      <c r="A11" s="35" t="s">
        <v>85</v>
      </c>
      <c r="B11" s="36"/>
      <c r="C11" s="33">
        <f t="array" ref="C11">SUM(IF(TRFsetup!$B$25:$B$48="A",DIR1count!$H$14:$K$37))*C$5/C$15</f>
        <v>0</v>
      </c>
      <c r="D11" s="33">
        <f t="array" ref="D11">SUM(IF(TRFsetup!$B$25:$B$48="P",DIR1count!$H$14:$K$37))*D$5/D$15</f>
        <v>0</v>
      </c>
      <c r="E11" s="33">
        <f t="array" ref="E11">SUM(IF(TRFsetup!$B$25:$B$48="D",DIR1count!$H$14:$K$37))*E$5/E$15</f>
        <v>0</v>
      </c>
      <c r="F11" s="33">
        <f t="array" ref="F11">SUM(IF(TRFsetup!$B$25:$B$48="N",DIR1count!$H$14:$K$37))*F$5/F$15</f>
        <v>0</v>
      </c>
      <c r="G11" s="34">
        <f t="shared" si="0"/>
        <v>0</v>
      </c>
      <c r="H11" s="34">
        <f t="shared" si="0"/>
        <v>0</v>
      </c>
      <c r="I11" s="34">
        <f t="shared" si="0"/>
        <v>0</v>
      </c>
      <c r="J11" s="34">
        <f t="shared" si="0"/>
        <v>0</v>
      </c>
      <c r="K11" s="34">
        <f t="shared" si="1"/>
        <v>0</v>
      </c>
      <c r="L11" s="34">
        <f t="shared" si="1"/>
        <v>0</v>
      </c>
      <c r="M11" s="34">
        <f t="shared" si="1"/>
        <v>0</v>
      </c>
      <c r="N11" s="34">
        <f t="shared" si="1"/>
        <v>0</v>
      </c>
    </row>
    <row r="12" spans="1:14" x14ac:dyDescent="0.2">
      <c r="A12" s="35" t="s">
        <v>86</v>
      </c>
      <c r="B12" s="36"/>
      <c r="C12" s="33">
        <f t="array" ref="C12">SUM(IF(TRFsetup!$B$25:$B$48="A",DIR1count!$L$14:$L$37))*C$5/C$15</f>
        <v>0</v>
      </c>
      <c r="D12" s="33">
        <f t="array" ref="D12">SUM(IF(TRFsetup!$B$25:$B$48="P",DIR1count!$L$14:$L$37))*D$5/D$15</f>
        <v>0</v>
      </c>
      <c r="E12" s="33">
        <f t="array" ref="E12">SUM(IF(TRFsetup!$B$25:$B$48="D",DIR1count!$L$14:$L$37))*E$5/E$15</f>
        <v>0</v>
      </c>
      <c r="F12" s="33">
        <f t="array" ref="F12">SUM(IF(TRFsetup!$B$25:$B$48="N",DIR1count!$L$14:$L$37))*F$5/F$15</f>
        <v>0</v>
      </c>
      <c r="G12" s="34">
        <f t="shared" si="0"/>
        <v>0</v>
      </c>
      <c r="H12" s="34">
        <f t="shared" si="0"/>
        <v>0</v>
      </c>
      <c r="I12" s="34">
        <f t="shared" si="0"/>
        <v>0</v>
      </c>
      <c r="J12" s="34">
        <f t="shared" si="0"/>
        <v>0</v>
      </c>
      <c r="K12" s="34">
        <f t="shared" si="1"/>
        <v>0</v>
      </c>
      <c r="L12" s="34">
        <f t="shared" si="1"/>
        <v>0</v>
      </c>
      <c r="M12" s="34">
        <f t="shared" si="1"/>
        <v>0</v>
      </c>
      <c r="N12" s="34">
        <f t="shared" si="1"/>
        <v>0</v>
      </c>
    </row>
    <row r="13" spans="1:14" x14ac:dyDescent="0.2">
      <c r="A13" s="37" t="s">
        <v>87</v>
      </c>
      <c r="B13" s="38"/>
      <c r="C13" s="33">
        <f t="array" ref="C13">SUM(IF(TRFsetup!$B$25:$B$48="A",DIR1count!$M$14:$N$37))*$C$5/C$15</f>
        <v>0</v>
      </c>
      <c r="D13" s="33">
        <f t="array" ref="D13">SUM(IF(TRFsetup!$B$25:$B$48="P",DIR1count!$M$14:$N$37))*D$5/D$15</f>
        <v>0</v>
      </c>
      <c r="E13" s="33">
        <f t="array" ref="E13">SUM(IF(TRFsetup!$B$25:$B$48="D",DIR1count!$M$14:$N$37))*E$5/E$15</f>
        <v>0</v>
      </c>
      <c r="F13" s="33">
        <f t="array" ref="F13">SUM(IF(TRFsetup!$B$25:$B$48="N",DIR1count!$M$14:$N$37))*F$5/F$15</f>
        <v>0</v>
      </c>
      <c r="G13" s="34">
        <f t="shared" si="0"/>
        <v>0</v>
      </c>
      <c r="H13" s="34">
        <f t="shared" si="0"/>
        <v>0</v>
      </c>
      <c r="I13" s="34">
        <f t="shared" si="0"/>
        <v>0</v>
      </c>
      <c r="J13" s="34">
        <f t="shared" si="0"/>
        <v>0</v>
      </c>
      <c r="K13" s="34">
        <f t="shared" si="1"/>
        <v>0</v>
      </c>
      <c r="L13" s="34">
        <f t="shared" si="1"/>
        <v>0</v>
      </c>
      <c r="M13" s="34">
        <f t="shared" si="1"/>
        <v>0</v>
      </c>
      <c r="N13" s="34">
        <f t="shared" si="1"/>
        <v>0</v>
      </c>
    </row>
    <row r="14" spans="1:14" s="40" customFormat="1" x14ac:dyDescent="0.2">
      <c r="A14" s="39" t="s">
        <v>88</v>
      </c>
      <c r="C14" s="41">
        <f t="shared" ref="C14:N14" si="2">SUM(C8:C13)</f>
        <v>0</v>
      </c>
      <c r="D14" s="41">
        <f t="shared" si="2"/>
        <v>0</v>
      </c>
      <c r="E14" s="41">
        <f t="shared" si="2"/>
        <v>0</v>
      </c>
      <c r="F14" s="41">
        <f t="shared" si="2"/>
        <v>0</v>
      </c>
      <c r="G14" s="41">
        <f t="shared" si="2"/>
        <v>0</v>
      </c>
      <c r="H14" s="41">
        <f t="shared" si="2"/>
        <v>0</v>
      </c>
      <c r="I14" s="41">
        <f t="shared" si="2"/>
        <v>0</v>
      </c>
      <c r="J14" s="41">
        <f t="shared" si="2"/>
        <v>0</v>
      </c>
      <c r="K14" s="41">
        <f t="shared" si="2"/>
        <v>0</v>
      </c>
      <c r="L14" s="41">
        <f t="shared" si="2"/>
        <v>0</v>
      </c>
      <c r="M14" s="41">
        <f t="shared" si="2"/>
        <v>0</v>
      </c>
      <c r="N14" s="41">
        <f t="shared" si="2"/>
        <v>0</v>
      </c>
    </row>
    <row r="15" spans="1:14" s="40" customFormat="1" x14ac:dyDescent="0.2">
      <c r="A15" s="39" t="s">
        <v>89</v>
      </c>
      <c r="C15" s="41">
        <v>1</v>
      </c>
      <c r="D15" s="41">
        <v>1</v>
      </c>
      <c r="E15" s="41">
        <v>10</v>
      </c>
      <c r="F15" s="41">
        <v>12</v>
      </c>
      <c r="G15" s="41">
        <f>C15</f>
        <v>1</v>
      </c>
      <c r="H15" s="41">
        <f>D15</f>
        <v>1</v>
      </c>
      <c r="I15" s="41">
        <f>E15</f>
        <v>10</v>
      </c>
      <c r="J15" s="41">
        <f>F15</f>
        <v>12</v>
      </c>
      <c r="K15" s="41">
        <f>C15</f>
        <v>1</v>
      </c>
      <c r="L15" s="41">
        <f>D15</f>
        <v>1</v>
      </c>
      <c r="M15" s="41">
        <f>E15</f>
        <v>10</v>
      </c>
      <c r="N15" s="41">
        <f>F15</f>
        <v>12</v>
      </c>
    </row>
    <row r="16" spans="1:14" s="40" customFormat="1" x14ac:dyDescent="0.2">
      <c r="A16" s="39" t="s">
        <v>90</v>
      </c>
      <c r="C16" s="41">
        <f t="shared" ref="C16:N16" si="3">C14*C15</f>
        <v>0</v>
      </c>
      <c r="D16" s="41">
        <f t="shared" si="3"/>
        <v>0</v>
      </c>
      <c r="E16" s="41">
        <f t="shared" si="3"/>
        <v>0</v>
      </c>
      <c r="F16" s="41">
        <f t="shared" si="3"/>
        <v>0</v>
      </c>
      <c r="G16" s="41">
        <f t="shared" si="3"/>
        <v>0</v>
      </c>
      <c r="H16" s="41">
        <f t="shared" si="3"/>
        <v>0</v>
      </c>
      <c r="I16" s="41">
        <f t="shared" si="3"/>
        <v>0</v>
      </c>
      <c r="J16" s="41">
        <f t="shared" si="3"/>
        <v>0</v>
      </c>
      <c r="K16" s="41">
        <f t="shared" si="3"/>
        <v>0</v>
      </c>
      <c r="L16" s="41">
        <f t="shared" si="3"/>
        <v>0</v>
      </c>
      <c r="M16" s="41">
        <f t="shared" si="3"/>
        <v>0</v>
      </c>
      <c r="N16" s="41">
        <f t="shared" si="3"/>
        <v>0</v>
      </c>
    </row>
    <row r="17" spans="1:14" s="40" customFormat="1" x14ac:dyDescent="0.2">
      <c r="A17" s="39" t="s">
        <v>90</v>
      </c>
      <c r="C17" s="41"/>
      <c r="D17" s="41"/>
      <c r="E17" s="42"/>
      <c r="F17" s="41">
        <f>SUM(C16:F16)</f>
        <v>0</v>
      </c>
      <c r="G17" s="41"/>
      <c r="H17" s="41"/>
      <c r="I17" s="42"/>
      <c r="J17" s="41">
        <f>SUM(G16:J16)</f>
        <v>0</v>
      </c>
      <c r="K17" s="41"/>
      <c r="L17" s="41"/>
      <c r="M17" s="42"/>
      <c r="N17" s="41">
        <f>SUM(K16:N16)</f>
        <v>0</v>
      </c>
    </row>
    <row r="18" spans="1:14" s="40" customFormat="1" x14ac:dyDescent="0.2">
      <c r="A18" s="39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</row>
    <row r="19" spans="1:14" x14ac:dyDescent="0.2">
      <c r="A19" s="31" t="s">
        <v>91</v>
      </c>
      <c r="B19" s="32"/>
      <c r="C19" s="33">
        <f t="array" ref="C19">SUM(IF(TRFsetup!$B$25:$B$48="A",DIR2count!$C$14:$C$37))*C$5/C$15</f>
        <v>0</v>
      </c>
      <c r="D19" s="33">
        <f t="array" ref="D19">SUM(IF(TRFsetup!$B$25:$B$48="P",DIR2count!$C$14:$C$37))*D$5/D$15</f>
        <v>0</v>
      </c>
      <c r="E19" s="33">
        <f t="array" ref="E19">SUM(IF(TRFsetup!$B$25:$B$48="D",DIR2count!$C$14:$C$37))*E$5/E$15</f>
        <v>0</v>
      </c>
      <c r="F19" s="33">
        <f t="array" ref="F19">SUM(IF(TRFsetup!$B$25:$B$48="N",DIR2count!$C$14:$C$37))*F$5/F$15</f>
        <v>0</v>
      </c>
      <c r="G19" s="34">
        <f t="shared" ref="G19:J24" si="4">C19*$G$5</f>
        <v>0</v>
      </c>
      <c r="H19" s="34">
        <f t="shared" si="4"/>
        <v>0</v>
      </c>
      <c r="I19" s="34">
        <f t="shared" si="4"/>
        <v>0</v>
      </c>
      <c r="J19" s="34">
        <f t="shared" si="4"/>
        <v>0</v>
      </c>
      <c r="K19" s="34">
        <f t="shared" ref="K19:N24" si="5">C19*$K$5</f>
        <v>0</v>
      </c>
      <c r="L19" s="34">
        <f t="shared" si="5"/>
        <v>0</v>
      </c>
      <c r="M19" s="34">
        <f t="shared" si="5"/>
        <v>0</v>
      </c>
      <c r="N19" s="34">
        <f t="shared" si="5"/>
        <v>0</v>
      </c>
    </row>
    <row r="20" spans="1:14" x14ac:dyDescent="0.2">
      <c r="A20" s="35" t="s">
        <v>92</v>
      </c>
      <c r="B20" s="36"/>
      <c r="C20" s="33">
        <f t="array" ref="C20">SUM(IF(TRFsetup!$B$25:$B$48="A",DIR2count!$D$14:$D$37))*C$5/C$15</f>
        <v>0</v>
      </c>
      <c r="D20" s="33">
        <f t="array" ref="D20">SUM(IF(TRFsetup!$B$25:$B$48="P",DIR2count!$D$14:$D$37))*D$5/D$15</f>
        <v>0</v>
      </c>
      <c r="E20" s="33">
        <f t="array" ref="E20">SUM(IF(TRFsetup!$B$25:$B$48="D",DIR2count!$D$14:$D$37))*E$5/E$15</f>
        <v>0</v>
      </c>
      <c r="F20" s="33">
        <f t="array" ref="F20">SUM(IF(TRFsetup!$B$25:$B$48="N",DIR2count!$D$14:$D$37))*F$5/F$15</f>
        <v>0</v>
      </c>
      <c r="G20" s="34">
        <f t="shared" si="4"/>
        <v>0</v>
      </c>
      <c r="H20" s="34">
        <f t="shared" si="4"/>
        <v>0</v>
      </c>
      <c r="I20" s="34">
        <f t="shared" si="4"/>
        <v>0</v>
      </c>
      <c r="J20" s="34">
        <f t="shared" si="4"/>
        <v>0</v>
      </c>
      <c r="K20" s="34">
        <f t="shared" si="5"/>
        <v>0</v>
      </c>
      <c r="L20" s="34">
        <f t="shared" si="5"/>
        <v>0</v>
      </c>
      <c r="M20" s="34">
        <f t="shared" si="5"/>
        <v>0</v>
      </c>
      <c r="N20" s="34">
        <f t="shared" si="5"/>
        <v>0</v>
      </c>
    </row>
    <row r="21" spans="1:14" x14ac:dyDescent="0.2">
      <c r="A21" s="35" t="s">
        <v>93</v>
      </c>
      <c r="B21" s="36"/>
      <c r="C21" s="33">
        <f t="array" ref="C21">SUM(IF(TRFsetup!$B$25:$B$48="A",DIR2count!$E$14:$G$37))*C$5/C$15</f>
        <v>0</v>
      </c>
      <c r="D21" s="33">
        <f t="array" ref="D21">SUM(IF(TRFsetup!$B$25:$B$48="P",DIR2count!$E$14:$G$37))*D$5/D$15</f>
        <v>0</v>
      </c>
      <c r="E21" s="33">
        <f t="array" ref="E21">SUM(IF(TRFsetup!$B$25:$B$48="D",DIR2count!$E$14:$G$37))*E$5/E$15</f>
        <v>0</v>
      </c>
      <c r="F21" s="33">
        <f t="array" ref="F21">SUM(IF(TRFsetup!$B$25:$B$48="N",DIR2count!$E$14:$G$37))*F$5/F$15</f>
        <v>0</v>
      </c>
      <c r="G21" s="34">
        <f t="shared" si="4"/>
        <v>0</v>
      </c>
      <c r="H21" s="34">
        <f t="shared" si="4"/>
        <v>0</v>
      </c>
      <c r="I21" s="34">
        <f t="shared" si="4"/>
        <v>0</v>
      </c>
      <c r="J21" s="34">
        <f t="shared" si="4"/>
        <v>0</v>
      </c>
      <c r="K21" s="34">
        <f t="shared" si="5"/>
        <v>0</v>
      </c>
      <c r="L21" s="34">
        <f t="shared" si="5"/>
        <v>0</v>
      </c>
      <c r="M21" s="34">
        <f t="shared" si="5"/>
        <v>0</v>
      </c>
      <c r="N21" s="34">
        <f t="shared" si="5"/>
        <v>0</v>
      </c>
    </row>
    <row r="22" spans="1:14" x14ac:dyDescent="0.2">
      <c r="A22" s="35" t="s">
        <v>94</v>
      </c>
      <c r="B22" s="36"/>
      <c r="C22" s="33">
        <f t="array" ref="C22">SUM(IF(TRFsetup!$B$25:$B$48="A",DIR2count!$H$14:$K$37))*C$5/C$15</f>
        <v>0</v>
      </c>
      <c r="D22" s="33">
        <f t="array" ref="D22">SUM(IF(TRFsetup!$B$25:$B$48="P",DIR2count!$H$14:$K$37))*D$5/D$15</f>
        <v>0</v>
      </c>
      <c r="E22" s="33">
        <f t="array" ref="E22">SUM(IF(TRFsetup!$B$25:$B$48="D",DIR2count!$H$14:$K$37))*E$5/E$15</f>
        <v>0</v>
      </c>
      <c r="F22" s="33">
        <f t="array" ref="F22">SUM(IF(TRFsetup!$B$25:$B$48="N",DIR2count!$H$14:$K$37))*F$5/F$15</f>
        <v>0</v>
      </c>
      <c r="G22" s="34">
        <f t="shared" si="4"/>
        <v>0</v>
      </c>
      <c r="H22" s="34">
        <f t="shared" si="4"/>
        <v>0</v>
      </c>
      <c r="I22" s="34">
        <f t="shared" si="4"/>
        <v>0</v>
      </c>
      <c r="J22" s="34">
        <f t="shared" si="4"/>
        <v>0</v>
      </c>
      <c r="K22" s="34">
        <f t="shared" si="5"/>
        <v>0</v>
      </c>
      <c r="L22" s="34">
        <f t="shared" si="5"/>
        <v>0</v>
      </c>
      <c r="M22" s="34">
        <f t="shared" si="5"/>
        <v>0</v>
      </c>
      <c r="N22" s="34">
        <f t="shared" si="5"/>
        <v>0</v>
      </c>
    </row>
    <row r="23" spans="1:14" x14ac:dyDescent="0.2">
      <c r="A23" s="35" t="s">
        <v>95</v>
      </c>
      <c r="B23" s="36"/>
      <c r="C23" s="33">
        <f t="array" ref="C23">SUM(IF(TRFsetup!$B$25:$B$48="A",DIR2count!$L$14:$L$37))*C$5/C$15</f>
        <v>0</v>
      </c>
      <c r="D23" s="33">
        <f t="array" ref="D23">SUM(IF(TRFsetup!$B$25:$B$48="P",DIR2count!$L$14:$L$37))*D$5/D$15</f>
        <v>0</v>
      </c>
      <c r="E23" s="33">
        <f t="array" ref="E23">SUM(IF(TRFsetup!$B$25:$B$48="D",DIR2count!$L$14:$L$37))*E$5/E$15</f>
        <v>0</v>
      </c>
      <c r="F23" s="33">
        <f t="array" ref="F23">SUM(IF(TRFsetup!$B$25:$B$48="N",DIR2count!$L$14:$L$37))*F$5/F$15</f>
        <v>0</v>
      </c>
      <c r="G23" s="34">
        <f t="shared" si="4"/>
        <v>0</v>
      </c>
      <c r="H23" s="34">
        <f t="shared" si="4"/>
        <v>0</v>
      </c>
      <c r="I23" s="34">
        <f t="shared" si="4"/>
        <v>0</v>
      </c>
      <c r="J23" s="34">
        <f t="shared" si="4"/>
        <v>0</v>
      </c>
      <c r="K23" s="34">
        <f t="shared" si="5"/>
        <v>0</v>
      </c>
      <c r="L23" s="34">
        <f t="shared" si="5"/>
        <v>0</v>
      </c>
      <c r="M23" s="34">
        <f t="shared" si="5"/>
        <v>0</v>
      </c>
      <c r="N23" s="34">
        <f t="shared" si="5"/>
        <v>0</v>
      </c>
    </row>
    <row r="24" spans="1:14" x14ac:dyDescent="0.2">
      <c r="A24" s="37" t="s">
        <v>96</v>
      </c>
      <c r="B24" s="38"/>
      <c r="C24" s="33">
        <f t="array" ref="C24">SUM(IF(TRFsetup!$B$25:$B$48="A",DIR2count!$M$14:$N$37))*$C$5/C$15</f>
        <v>0</v>
      </c>
      <c r="D24" s="33">
        <f t="array" ref="D24">SUM(IF(TRFsetup!$B$25:$B$48="P",DIR2count!$M$14:$N$37))*D$5/D$15</f>
        <v>0</v>
      </c>
      <c r="E24" s="33">
        <f t="array" ref="E24">SUM(IF(TRFsetup!$B$25:$B$48="D",DIR2count!$M$14:$N$37))*E$5/E$15</f>
        <v>0</v>
      </c>
      <c r="F24" s="33">
        <f t="array" ref="F24">SUM(IF(TRFsetup!$B$25:$B$48="N",DIR2count!$M$14:$N$37))*F$5/F$15</f>
        <v>0</v>
      </c>
      <c r="G24" s="34">
        <f t="shared" si="4"/>
        <v>0</v>
      </c>
      <c r="H24" s="34">
        <f t="shared" si="4"/>
        <v>0</v>
      </c>
      <c r="I24" s="34">
        <f t="shared" si="4"/>
        <v>0</v>
      </c>
      <c r="J24" s="34">
        <f t="shared" si="4"/>
        <v>0</v>
      </c>
      <c r="K24" s="34">
        <f t="shared" si="5"/>
        <v>0</v>
      </c>
      <c r="L24" s="34">
        <f t="shared" si="5"/>
        <v>0</v>
      </c>
      <c r="M24" s="34">
        <f t="shared" si="5"/>
        <v>0</v>
      </c>
      <c r="N24" s="34">
        <f t="shared" si="5"/>
        <v>0</v>
      </c>
    </row>
    <row r="25" spans="1:14" x14ac:dyDescent="0.2">
      <c r="A25" s="39" t="s">
        <v>88</v>
      </c>
      <c r="B25" s="39"/>
      <c r="C25" s="43">
        <f t="shared" ref="C25:N25" si="6">SUM(C19:C24)</f>
        <v>0</v>
      </c>
      <c r="D25" s="43">
        <f t="shared" si="6"/>
        <v>0</v>
      </c>
      <c r="E25" s="43">
        <f t="shared" si="6"/>
        <v>0</v>
      </c>
      <c r="F25" s="43">
        <f t="shared" si="6"/>
        <v>0</v>
      </c>
      <c r="G25" s="41">
        <f t="shared" si="6"/>
        <v>0</v>
      </c>
      <c r="H25" s="41">
        <f t="shared" si="6"/>
        <v>0</v>
      </c>
      <c r="I25" s="41">
        <f t="shared" si="6"/>
        <v>0</v>
      </c>
      <c r="J25" s="41">
        <f t="shared" si="6"/>
        <v>0</v>
      </c>
      <c r="K25" s="41">
        <f t="shared" si="6"/>
        <v>0</v>
      </c>
      <c r="L25" s="41">
        <f t="shared" si="6"/>
        <v>0</v>
      </c>
      <c r="M25" s="41">
        <f t="shared" si="6"/>
        <v>0</v>
      </c>
      <c r="N25" s="41">
        <f t="shared" si="6"/>
        <v>0</v>
      </c>
    </row>
    <row r="26" spans="1:14" x14ac:dyDescent="0.2">
      <c r="A26" s="39" t="s">
        <v>89</v>
      </c>
      <c r="B26" s="39"/>
      <c r="C26" s="43">
        <v>1</v>
      </c>
      <c r="D26" s="43">
        <v>1</v>
      </c>
      <c r="E26" s="43">
        <v>10</v>
      </c>
      <c r="F26" s="43">
        <v>12</v>
      </c>
      <c r="G26" s="41">
        <f>C26</f>
        <v>1</v>
      </c>
      <c r="H26" s="41">
        <f>D26</f>
        <v>1</v>
      </c>
      <c r="I26" s="41">
        <f>E26</f>
        <v>10</v>
      </c>
      <c r="J26" s="41">
        <f>F26</f>
        <v>12</v>
      </c>
      <c r="K26" s="41">
        <f>C26</f>
        <v>1</v>
      </c>
      <c r="L26" s="41">
        <f>D26</f>
        <v>1</v>
      </c>
      <c r="M26" s="41">
        <f>E26</f>
        <v>10</v>
      </c>
      <c r="N26" s="41">
        <f>F26</f>
        <v>12</v>
      </c>
    </row>
    <row r="27" spans="1:14" x14ac:dyDescent="0.2">
      <c r="A27" s="39" t="s">
        <v>90</v>
      </c>
      <c r="B27" s="39"/>
      <c r="C27" s="43">
        <f t="shared" ref="C27:N27" si="7">C25*C26</f>
        <v>0</v>
      </c>
      <c r="D27" s="43">
        <f t="shared" si="7"/>
        <v>0</v>
      </c>
      <c r="E27" s="43">
        <f t="shared" si="7"/>
        <v>0</v>
      </c>
      <c r="F27" s="43">
        <f t="shared" si="7"/>
        <v>0</v>
      </c>
      <c r="G27" s="44">
        <f t="shared" si="7"/>
        <v>0</v>
      </c>
      <c r="H27" s="44">
        <f t="shared" si="7"/>
        <v>0</v>
      </c>
      <c r="I27" s="44">
        <f t="shared" si="7"/>
        <v>0</v>
      </c>
      <c r="J27" s="44">
        <f t="shared" si="7"/>
        <v>0</v>
      </c>
      <c r="K27" s="44">
        <f t="shared" si="7"/>
        <v>0</v>
      </c>
      <c r="L27" s="44">
        <f t="shared" si="7"/>
        <v>0</v>
      </c>
      <c r="M27" s="44">
        <f t="shared" si="7"/>
        <v>0</v>
      </c>
      <c r="N27" s="44">
        <f t="shared" si="7"/>
        <v>0</v>
      </c>
    </row>
    <row r="28" spans="1:14" x14ac:dyDescent="0.2">
      <c r="A28" s="39" t="s">
        <v>90</v>
      </c>
      <c r="B28" s="39"/>
      <c r="C28" s="44"/>
      <c r="D28" s="44"/>
      <c r="F28" s="44">
        <f>SUM(C27:F27)</f>
        <v>0</v>
      </c>
      <c r="G28" s="44"/>
      <c r="H28" s="44"/>
      <c r="J28" s="44">
        <f>SUM(G27:J27)</f>
        <v>0</v>
      </c>
      <c r="K28" s="44"/>
      <c r="L28" s="44"/>
      <c r="N28" s="44">
        <f>SUM(K27:N27)</f>
        <v>0</v>
      </c>
    </row>
    <row r="29" spans="1:14" x14ac:dyDescent="0.2">
      <c r="A29" s="39" t="s">
        <v>97</v>
      </c>
      <c r="B29" s="39"/>
      <c r="C29" s="44"/>
      <c r="D29" s="44"/>
      <c r="F29" s="44">
        <f>F17+F28</f>
        <v>0</v>
      </c>
      <c r="G29" s="44"/>
      <c r="H29" s="44"/>
      <c r="J29" s="44">
        <f>J17+J28</f>
        <v>0</v>
      </c>
      <c r="K29" s="44"/>
      <c r="L29" s="44"/>
      <c r="N29" s="44">
        <f>N17+N28</f>
        <v>0</v>
      </c>
    </row>
    <row r="30" spans="1:14" s="40" customFormat="1" x14ac:dyDescent="0.2">
      <c r="A30" s="45"/>
      <c r="B30" s="45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</row>
    <row r="31" spans="1:14" s="40" customFormat="1" x14ac:dyDescent="0.2">
      <c r="A31" s="45" t="s">
        <v>98</v>
      </c>
      <c r="B31" s="45"/>
      <c r="C31" s="44">
        <f t="shared" ref="C31:N31" si="8">SUM(C8:C13,C19:C24)</f>
        <v>0</v>
      </c>
      <c r="D31" s="44">
        <f t="shared" si="8"/>
        <v>0</v>
      </c>
      <c r="E31" s="44">
        <f t="shared" si="8"/>
        <v>0</v>
      </c>
      <c r="F31" s="44">
        <f t="shared" si="8"/>
        <v>0</v>
      </c>
      <c r="G31" s="44">
        <f t="shared" si="8"/>
        <v>0</v>
      </c>
      <c r="H31" s="44">
        <f t="shared" si="8"/>
        <v>0</v>
      </c>
      <c r="I31" s="44">
        <f t="shared" si="8"/>
        <v>0</v>
      </c>
      <c r="J31" s="44">
        <f t="shared" si="8"/>
        <v>0</v>
      </c>
      <c r="K31" s="44">
        <f t="shared" si="8"/>
        <v>0</v>
      </c>
      <c r="L31" s="44">
        <f t="shared" si="8"/>
        <v>0</v>
      </c>
      <c r="M31" s="44">
        <f t="shared" si="8"/>
        <v>0</v>
      </c>
      <c r="N31" s="44">
        <f t="shared" si="8"/>
        <v>0</v>
      </c>
    </row>
    <row r="32" spans="1:14" s="40" customFormat="1" x14ac:dyDescent="0.2">
      <c r="A32" s="45" t="s">
        <v>99</v>
      </c>
      <c r="B32" s="45"/>
      <c r="C32" s="44">
        <v>1000</v>
      </c>
      <c r="D32" s="44">
        <f t="shared" ref="D32:N32" si="9">C32</f>
        <v>1000</v>
      </c>
      <c r="E32" s="44">
        <f t="shared" si="9"/>
        <v>1000</v>
      </c>
      <c r="F32" s="44">
        <f t="shared" si="9"/>
        <v>1000</v>
      </c>
      <c r="G32" s="44">
        <f t="shared" si="9"/>
        <v>1000</v>
      </c>
      <c r="H32" s="44">
        <f t="shared" si="9"/>
        <v>1000</v>
      </c>
      <c r="I32" s="44">
        <f t="shared" si="9"/>
        <v>1000</v>
      </c>
      <c r="J32" s="44">
        <f t="shared" si="9"/>
        <v>1000</v>
      </c>
      <c r="K32" s="44">
        <f t="shared" si="9"/>
        <v>1000</v>
      </c>
      <c r="L32" s="44">
        <f t="shared" si="9"/>
        <v>1000</v>
      </c>
      <c r="M32" s="44">
        <f t="shared" si="9"/>
        <v>1000</v>
      </c>
      <c r="N32" s="44">
        <f t="shared" si="9"/>
        <v>1000</v>
      </c>
    </row>
    <row r="33" spans="1:14" s="40" customFormat="1" x14ac:dyDescent="0.2">
      <c r="A33" s="47" t="s">
        <v>100</v>
      </c>
      <c r="B33" s="45"/>
      <c r="C33" s="48" t="e">
        <f t="shared" ref="C33:N33" si="10">C$32*3600/C31</f>
        <v>#DIV/0!</v>
      </c>
      <c r="D33" s="48" t="e">
        <f t="shared" si="10"/>
        <v>#DIV/0!</v>
      </c>
      <c r="E33" s="48" t="e">
        <f t="shared" si="10"/>
        <v>#DIV/0!</v>
      </c>
      <c r="F33" s="48" t="e">
        <f t="shared" si="10"/>
        <v>#DIV/0!</v>
      </c>
      <c r="G33" s="48" t="e">
        <f t="shared" si="10"/>
        <v>#DIV/0!</v>
      </c>
      <c r="H33" s="48" t="e">
        <f t="shared" si="10"/>
        <v>#DIV/0!</v>
      </c>
      <c r="I33" s="48" t="e">
        <f t="shared" si="10"/>
        <v>#DIV/0!</v>
      </c>
      <c r="J33" s="48" t="e">
        <f t="shared" si="10"/>
        <v>#DIV/0!</v>
      </c>
      <c r="K33" s="48" t="e">
        <f t="shared" si="10"/>
        <v>#DIV/0!</v>
      </c>
      <c r="L33" s="48" t="e">
        <f t="shared" si="10"/>
        <v>#DIV/0!</v>
      </c>
      <c r="M33" s="48" t="e">
        <f t="shared" si="10"/>
        <v>#DIV/0!</v>
      </c>
      <c r="N33" s="48" t="e">
        <f t="shared" si="10"/>
        <v>#DIV/0!</v>
      </c>
    </row>
    <row r="34" spans="1:14" s="40" customFormat="1" x14ac:dyDescent="0.2">
      <c r="A34" s="45"/>
      <c r="B34" s="45"/>
      <c r="C34" s="46"/>
      <c r="D34" s="46"/>
      <c r="E34" s="49"/>
      <c r="F34" s="46"/>
      <c r="G34" s="46"/>
      <c r="H34" s="46"/>
      <c r="I34" s="46"/>
      <c r="J34" s="46"/>
      <c r="K34" s="46"/>
      <c r="L34" s="46"/>
      <c r="M34" s="46"/>
      <c r="N34" s="46"/>
    </row>
    <row r="36" spans="1:14" x14ac:dyDescent="0.2">
      <c r="A36" s="11" t="s">
        <v>101</v>
      </c>
      <c r="C36" s="8">
        <f>TRFsetup!$B$3</f>
        <v>1</v>
      </c>
      <c r="D36" s="8">
        <f>TRFsetup!$B$3</f>
        <v>1</v>
      </c>
      <c r="E36" s="8">
        <f>TRFsetup!$B$3</f>
        <v>1</v>
      </c>
      <c r="F36" s="8">
        <f>TRFsetup!$B$3</f>
        <v>1</v>
      </c>
      <c r="G36" s="8">
        <f>TRFsetup!$B$3</f>
        <v>1</v>
      </c>
      <c r="H36" s="8">
        <f>TRFsetup!$B$3</f>
        <v>1</v>
      </c>
      <c r="I36" s="8">
        <f>TRFsetup!$B$3</f>
        <v>1</v>
      </c>
      <c r="J36" s="8">
        <f>TRFsetup!$B$3</f>
        <v>1</v>
      </c>
      <c r="K36" s="8">
        <f>TRFsetup!$B$3</f>
        <v>1</v>
      </c>
      <c r="L36" s="8">
        <f>TRFsetup!$B$3</f>
        <v>1</v>
      </c>
      <c r="M36" s="8">
        <f>TRFsetup!$B$3</f>
        <v>1</v>
      </c>
      <c r="N36" s="8">
        <f>TRFsetup!$B$3</f>
        <v>1</v>
      </c>
    </row>
    <row r="37" spans="1:14" x14ac:dyDescent="0.2">
      <c r="A37" s="11" t="s">
        <v>102</v>
      </c>
      <c r="C37" s="50">
        <f>TRFsetup!$B$4</f>
        <v>10000</v>
      </c>
      <c r="D37" s="50">
        <f>TRFsetup!$B$4</f>
        <v>10000</v>
      </c>
      <c r="E37" s="50">
        <f>TRFsetup!$B$4</f>
        <v>10000</v>
      </c>
      <c r="F37" s="50">
        <f>TRFsetup!$B$4</f>
        <v>10000</v>
      </c>
      <c r="G37" s="50">
        <f>TRFsetup!$B$4</f>
        <v>10000</v>
      </c>
      <c r="H37" s="50">
        <f>TRFsetup!$B$4</f>
        <v>10000</v>
      </c>
      <c r="I37" s="50">
        <f>TRFsetup!$B$4</f>
        <v>10000</v>
      </c>
      <c r="J37" s="50">
        <f>TRFsetup!$B$4</f>
        <v>10000</v>
      </c>
      <c r="K37" s="50">
        <f>TRFsetup!$B$4</f>
        <v>10000</v>
      </c>
      <c r="L37" s="50">
        <f>TRFsetup!$B$4</f>
        <v>10000</v>
      </c>
      <c r="M37" s="50">
        <f>TRFsetup!$B$4</f>
        <v>10000</v>
      </c>
      <c r="N37" s="50">
        <f>TRFsetup!$B$4</f>
        <v>10000</v>
      </c>
    </row>
    <row r="38" spans="1:14" x14ac:dyDescent="0.2">
      <c r="A38" s="11" t="s">
        <v>100</v>
      </c>
      <c r="C38" s="30" t="e">
        <f t="shared" ref="C38:N38" si="11">C$33</f>
        <v>#DIV/0!</v>
      </c>
      <c r="D38" s="30" t="e">
        <f t="shared" si="11"/>
        <v>#DIV/0!</v>
      </c>
      <c r="E38" s="30" t="e">
        <f t="shared" si="11"/>
        <v>#DIV/0!</v>
      </c>
      <c r="F38" s="30" t="e">
        <f t="shared" si="11"/>
        <v>#DIV/0!</v>
      </c>
      <c r="G38" s="30" t="e">
        <f t="shared" si="11"/>
        <v>#DIV/0!</v>
      </c>
      <c r="H38" s="30" t="e">
        <f t="shared" si="11"/>
        <v>#DIV/0!</v>
      </c>
      <c r="I38" s="30" t="e">
        <f t="shared" si="11"/>
        <v>#DIV/0!</v>
      </c>
      <c r="J38" s="30" t="e">
        <f t="shared" si="11"/>
        <v>#DIV/0!</v>
      </c>
      <c r="K38" s="30" t="e">
        <f t="shared" si="11"/>
        <v>#DIV/0!</v>
      </c>
      <c r="L38" s="30" t="e">
        <f t="shared" si="11"/>
        <v>#DIV/0!</v>
      </c>
      <c r="M38" s="30" t="e">
        <f t="shared" si="11"/>
        <v>#DIV/0!</v>
      </c>
      <c r="N38" s="30" t="e">
        <f t="shared" si="11"/>
        <v>#DIV/0!</v>
      </c>
    </row>
    <row r="39" spans="1:14" x14ac:dyDescent="0.2">
      <c r="A39" s="11" t="s">
        <v>42</v>
      </c>
      <c r="C39" s="8">
        <f>TRFsetup!$B$6</f>
        <v>0</v>
      </c>
      <c r="D39" s="8">
        <f>TRFsetup!$B$6</f>
        <v>0</v>
      </c>
      <c r="E39" s="8">
        <f>TRFsetup!$B$6</f>
        <v>0</v>
      </c>
      <c r="F39" s="8">
        <f>TRFsetup!$B$6</f>
        <v>0</v>
      </c>
      <c r="G39" s="8">
        <f>TRFsetup!$B$6</f>
        <v>0</v>
      </c>
      <c r="H39" s="8">
        <f>TRFsetup!$B$6</f>
        <v>0</v>
      </c>
      <c r="I39" s="8">
        <f>TRFsetup!$B$6</f>
        <v>0</v>
      </c>
      <c r="J39" s="8">
        <f>TRFsetup!$B$6</f>
        <v>0</v>
      </c>
      <c r="K39" s="8">
        <f>TRFsetup!$B$6</f>
        <v>0</v>
      </c>
      <c r="L39" s="8">
        <f>TRFsetup!$B$6</f>
        <v>0</v>
      </c>
      <c r="M39" s="8">
        <f>TRFsetup!$B$6</f>
        <v>0</v>
      </c>
      <c r="N39" s="8">
        <f>TRFsetup!$B$6</f>
        <v>0</v>
      </c>
    </row>
    <row r="40" spans="1:14" x14ac:dyDescent="0.2">
      <c r="A40" s="11" t="s">
        <v>103</v>
      </c>
      <c r="C40" s="51">
        <f>TRFsetup!$B$7</f>
        <v>100</v>
      </c>
      <c r="D40" s="51">
        <f>TRFsetup!$B$7</f>
        <v>100</v>
      </c>
      <c r="E40" s="51">
        <f>TRFsetup!$B$7</f>
        <v>100</v>
      </c>
      <c r="F40" s="51">
        <f>TRFsetup!$B$7</f>
        <v>100</v>
      </c>
      <c r="G40" s="51">
        <f>TRFsetup!$B$7</f>
        <v>100</v>
      </c>
      <c r="H40" s="51">
        <f>TRFsetup!$B$7</f>
        <v>100</v>
      </c>
      <c r="I40" s="51">
        <f>TRFsetup!$B$7</f>
        <v>100</v>
      </c>
      <c r="J40" s="51">
        <f>TRFsetup!$B$7</f>
        <v>100</v>
      </c>
      <c r="K40" s="51">
        <f>TRFsetup!$B$7</f>
        <v>100</v>
      </c>
      <c r="L40" s="51">
        <f>TRFsetup!$B$7</f>
        <v>100</v>
      </c>
      <c r="M40" s="51">
        <f>TRFsetup!$B$7</f>
        <v>100</v>
      </c>
      <c r="N40" s="51">
        <f>TRFsetup!$B$7</f>
        <v>100</v>
      </c>
    </row>
    <row r="41" spans="1:14" x14ac:dyDescent="0.2">
      <c r="A41" s="11" t="s">
        <v>104</v>
      </c>
      <c r="C41" s="51">
        <f>TRFsetup!$B$8</f>
        <v>100</v>
      </c>
      <c r="D41" s="51">
        <f>TRFsetup!$B$8</f>
        <v>100</v>
      </c>
      <c r="E41" s="51">
        <f>TRFsetup!$B$8</f>
        <v>100</v>
      </c>
      <c r="F41" s="51">
        <f>TRFsetup!$B$8</f>
        <v>100</v>
      </c>
      <c r="G41" s="51">
        <f>TRFsetup!$B$8</f>
        <v>100</v>
      </c>
      <c r="H41" s="51">
        <f>TRFsetup!$B$8</f>
        <v>100</v>
      </c>
      <c r="I41" s="51">
        <f>TRFsetup!$B$8</f>
        <v>100</v>
      </c>
      <c r="J41" s="51">
        <f>TRFsetup!$B$8</f>
        <v>100</v>
      </c>
      <c r="K41" s="51">
        <f>TRFsetup!$B$8</f>
        <v>100</v>
      </c>
      <c r="L41" s="51">
        <f>TRFsetup!$B$8</f>
        <v>100</v>
      </c>
      <c r="M41" s="51">
        <f>TRFsetup!$B$8</f>
        <v>100</v>
      </c>
      <c r="N41" s="51">
        <f>TRFsetup!$B$8</f>
        <v>100</v>
      </c>
    </row>
    <row r="42" spans="1:14" ht="12.75" customHeight="1" x14ac:dyDescent="0.2">
      <c r="A42" s="11" t="s">
        <v>105</v>
      </c>
      <c r="C42" s="50">
        <f>TRFsetup!$B$9</f>
        <v>50</v>
      </c>
      <c r="D42" s="50">
        <f>TRFsetup!$B$9</f>
        <v>50</v>
      </c>
      <c r="E42" s="50">
        <f>TRFsetup!$B$9</f>
        <v>50</v>
      </c>
      <c r="F42" s="50">
        <f>TRFsetup!$B$9</f>
        <v>50</v>
      </c>
      <c r="G42" s="50">
        <f>TRFsetup!$B$9</f>
        <v>50</v>
      </c>
      <c r="H42" s="50">
        <f>TRFsetup!$B$9</f>
        <v>50</v>
      </c>
      <c r="I42" s="50">
        <f>TRFsetup!$B$9</f>
        <v>50</v>
      </c>
      <c r="J42" s="50">
        <f>TRFsetup!$B$9</f>
        <v>50</v>
      </c>
      <c r="K42" s="50">
        <f>TRFsetup!$B$9</f>
        <v>50</v>
      </c>
      <c r="L42" s="50">
        <f>TRFsetup!$B$9</f>
        <v>50</v>
      </c>
      <c r="M42" s="50">
        <f>TRFsetup!$B$9</f>
        <v>50</v>
      </c>
      <c r="N42" s="50">
        <f>TRFsetup!$B$9</f>
        <v>50</v>
      </c>
    </row>
    <row r="43" spans="1:14" ht="13.5" customHeight="1" x14ac:dyDescent="0.2">
      <c r="A43" s="11" t="s">
        <v>106</v>
      </c>
      <c r="C43" s="50">
        <f>TRFsetup!$B$10</f>
        <v>50</v>
      </c>
      <c r="D43" s="50">
        <f>TRFsetup!$B$10</f>
        <v>50</v>
      </c>
      <c r="E43" s="50">
        <f>TRFsetup!$B$10</f>
        <v>50</v>
      </c>
      <c r="F43" s="50">
        <f>TRFsetup!$B$10</f>
        <v>50</v>
      </c>
      <c r="G43" s="50">
        <f>TRFsetup!$B$10</f>
        <v>50</v>
      </c>
      <c r="H43" s="50">
        <f>TRFsetup!$B$10</f>
        <v>50</v>
      </c>
      <c r="I43" s="50">
        <f>TRFsetup!$B$10</f>
        <v>50</v>
      </c>
      <c r="J43" s="50">
        <f>TRFsetup!$B$10</f>
        <v>50</v>
      </c>
      <c r="K43" s="50">
        <f>TRFsetup!$B$10</f>
        <v>50</v>
      </c>
      <c r="L43" s="50">
        <f>TRFsetup!$B$10</f>
        <v>50</v>
      </c>
      <c r="M43" s="50">
        <f>TRFsetup!$B$10</f>
        <v>50</v>
      </c>
      <c r="N43" s="50">
        <f>TRFsetup!$B$10</f>
        <v>50</v>
      </c>
    </row>
    <row r="44" spans="1:14" ht="13.5" customHeight="1" x14ac:dyDescent="0.2">
      <c r="A44" s="11" t="s">
        <v>107</v>
      </c>
      <c r="C44" s="8">
        <f>TRFsetup!$B$11</f>
        <v>6</v>
      </c>
      <c r="D44" s="8">
        <f>TRFsetup!$B$11</f>
        <v>6</v>
      </c>
      <c r="E44" s="8">
        <f>TRFsetup!$B$11</f>
        <v>6</v>
      </c>
      <c r="F44" s="8">
        <f>TRFsetup!$B$11</f>
        <v>6</v>
      </c>
      <c r="G44" s="8">
        <f>TRFsetup!$B$11</f>
        <v>6</v>
      </c>
      <c r="H44" s="8">
        <f>TRFsetup!$B$11</f>
        <v>6</v>
      </c>
      <c r="I44" s="8">
        <f>TRFsetup!$B$11</f>
        <v>6</v>
      </c>
      <c r="J44" s="8">
        <f>TRFsetup!$B$11</f>
        <v>6</v>
      </c>
      <c r="K44" s="8">
        <f>TRFsetup!$B$11</f>
        <v>6</v>
      </c>
      <c r="L44" s="8">
        <f>TRFsetup!$B$11</f>
        <v>6</v>
      </c>
      <c r="M44" s="8">
        <f>TRFsetup!$B$11</f>
        <v>6</v>
      </c>
      <c r="N44" s="8">
        <f>TRFsetup!$B$11</f>
        <v>6</v>
      </c>
    </row>
    <row r="45" spans="1:14" ht="13.5" customHeight="1" x14ac:dyDescent="0.2">
      <c r="A45" s="11" t="s">
        <v>48</v>
      </c>
      <c r="C45" s="51">
        <v>0</v>
      </c>
      <c r="D45" s="51">
        <v>1</v>
      </c>
      <c r="E45" s="51">
        <v>2</v>
      </c>
      <c r="F45" s="51">
        <v>3</v>
      </c>
      <c r="G45" s="51">
        <v>4</v>
      </c>
      <c r="H45" s="51">
        <v>5</v>
      </c>
      <c r="I45" s="51">
        <v>6</v>
      </c>
      <c r="J45" s="51">
        <v>7</v>
      </c>
      <c r="K45" s="51">
        <v>8</v>
      </c>
      <c r="L45" s="51">
        <v>9</v>
      </c>
      <c r="M45" s="51">
        <v>10</v>
      </c>
      <c r="N45" s="51">
        <v>11</v>
      </c>
    </row>
    <row r="46" spans="1:14" ht="13.5" customHeight="1" x14ac:dyDescent="0.2">
      <c r="A46" s="11" t="s">
        <v>49</v>
      </c>
      <c r="C46" s="8">
        <f>TRFsetup!$B$13</f>
        <v>0</v>
      </c>
      <c r="D46" s="8">
        <f>TRFsetup!$B$13</f>
        <v>0</v>
      </c>
      <c r="E46" s="8">
        <f>TRFsetup!$B$13</f>
        <v>0</v>
      </c>
      <c r="F46" s="8">
        <f>TRFsetup!$B$13</f>
        <v>0</v>
      </c>
      <c r="G46" s="8">
        <f>TRFsetup!$B$13</f>
        <v>0</v>
      </c>
      <c r="H46" s="8">
        <f>TRFsetup!$B$13</f>
        <v>0</v>
      </c>
      <c r="I46" s="8">
        <f>TRFsetup!$B$13</f>
        <v>0</v>
      </c>
      <c r="J46" s="8">
        <f>TRFsetup!$B$13</f>
        <v>0</v>
      </c>
      <c r="K46" s="8">
        <f>TRFsetup!$B$13</f>
        <v>0</v>
      </c>
      <c r="L46" s="8">
        <f>TRFsetup!$B$13</f>
        <v>0</v>
      </c>
      <c r="M46" s="8">
        <f>TRFsetup!$B$13</f>
        <v>0</v>
      </c>
      <c r="N46" s="8">
        <f>TRFsetup!$B$13</f>
        <v>0</v>
      </c>
    </row>
    <row r="47" spans="1:14" ht="13.5" customHeight="1" x14ac:dyDescent="0.2">
      <c r="A47" s="11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</row>
    <row r="48" spans="1:14" ht="13.5" customHeight="1" x14ac:dyDescent="0.2">
      <c r="A48" s="11" t="s">
        <v>108</v>
      </c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</row>
    <row r="49" spans="1:14" ht="13.5" customHeight="1" x14ac:dyDescent="0.2">
      <c r="A49" s="8" t="s">
        <v>55</v>
      </c>
    </row>
    <row r="50" spans="1:14" ht="13.5" customHeight="1" x14ac:dyDescent="0.2">
      <c r="A50" s="8" t="s">
        <v>109</v>
      </c>
    </row>
    <row r="51" spans="1:14" x14ac:dyDescent="0.2">
      <c r="A51" t="s">
        <v>110</v>
      </c>
      <c r="C51" s="52">
        <f t="shared" ref="C51:N51" si="12">IF(C69,C8/C69,0.5)</f>
        <v>0.5</v>
      </c>
      <c r="D51" s="52">
        <f t="shared" si="12"/>
        <v>0.5</v>
      </c>
      <c r="E51" s="52">
        <f t="shared" si="12"/>
        <v>0.5</v>
      </c>
      <c r="F51" s="52">
        <f t="shared" si="12"/>
        <v>0.5</v>
      </c>
      <c r="G51" s="52">
        <f t="shared" si="12"/>
        <v>0.5</v>
      </c>
      <c r="H51" s="52">
        <f t="shared" si="12"/>
        <v>0.5</v>
      </c>
      <c r="I51" s="52">
        <f t="shared" si="12"/>
        <v>0.5</v>
      </c>
      <c r="J51" s="52">
        <f t="shared" si="12"/>
        <v>0.5</v>
      </c>
      <c r="K51" s="52">
        <f t="shared" si="12"/>
        <v>0.5</v>
      </c>
      <c r="L51" s="52">
        <f t="shared" si="12"/>
        <v>0.5</v>
      </c>
      <c r="M51" s="52">
        <f t="shared" si="12"/>
        <v>0.5</v>
      </c>
      <c r="N51" s="52">
        <f t="shared" si="12"/>
        <v>0.5</v>
      </c>
    </row>
    <row r="52" spans="1:14" x14ac:dyDescent="0.2">
      <c r="A52" t="s">
        <v>111</v>
      </c>
      <c r="C52" s="52">
        <f t="shared" ref="C52:N52" si="13">IF(C70,C9/C70,0.5)</f>
        <v>0.5</v>
      </c>
      <c r="D52" s="52">
        <f t="shared" si="13"/>
        <v>0.5</v>
      </c>
      <c r="E52" s="52">
        <f t="shared" si="13"/>
        <v>0.5</v>
      </c>
      <c r="F52" s="52">
        <f t="shared" si="13"/>
        <v>0.5</v>
      </c>
      <c r="G52" s="52">
        <f t="shared" si="13"/>
        <v>0.5</v>
      </c>
      <c r="H52" s="52">
        <f t="shared" si="13"/>
        <v>0.5</v>
      </c>
      <c r="I52" s="52">
        <f t="shared" si="13"/>
        <v>0.5</v>
      </c>
      <c r="J52" s="52">
        <f t="shared" si="13"/>
        <v>0.5</v>
      </c>
      <c r="K52" s="52">
        <f t="shared" si="13"/>
        <v>0.5</v>
      </c>
      <c r="L52" s="52">
        <f t="shared" si="13"/>
        <v>0.5</v>
      </c>
      <c r="M52" s="52">
        <f t="shared" si="13"/>
        <v>0.5</v>
      </c>
      <c r="N52" s="52">
        <f t="shared" si="13"/>
        <v>0.5</v>
      </c>
    </row>
    <row r="53" spans="1:14" x14ac:dyDescent="0.2">
      <c r="A53" t="s">
        <v>112</v>
      </c>
      <c r="C53" s="52">
        <f t="shared" ref="C53:N53" si="14">IF(C71,C10/C71,0.5)</f>
        <v>0.5</v>
      </c>
      <c r="D53" s="52">
        <f t="shared" si="14"/>
        <v>0.5</v>
      </c>
      <c r="E53" s="52">
        <f t="shared" si="14"/>
        <v>0.5</v>
      </c>
      <c r="F53" s="52">
        <f t="shared" si="14"/>
        <v>0.5</v>
      </c>
      <c r="G53" s="52">
        <f t="shared" si="14"/>
        <v>0.5</v>
      </c>
      <c r="H53" s="52">
        <f t="shared" si="14"/>
        <v>0.5</v>
      </c>
      <c r="I53" s="52">
        <f t="shared" si="14"/>
        <v>0.5</v>
      </c>
      <c r="J53" s="52">
        <f t="shared" si="14"/>
        <v>0.5</v>
      </c>
      <c r="K53" s="52">
        <f t="shared" si="14"/>
        <v>0.5</v>
      </c>
      <c r="L53" s="52">
        <f t="shared" si="14"/>
        <v>0.5</v>
      </c>
      <c r="M53" s="52">
        <f t="shared" si="14"/>
        <v>0.5</v>
      </c>
      <c r="N53" s="52">
        <f t="shared" si="14"/>
        <v>0.5</v>
      </c>
    </row>
    <row r="54" spans="1:14" x14ac:dyDescent="0.2">
      <c r="A54" t="s">
        <v>113</v>
      </c>
      <c r="C54" s="52">
        <f t="shared" ref="C54:N54" si="15">IF(C72,C11/C72,0.5)</f>
        <v>0.5</v>
      </c>
      <c r="D54" s="52">
        <f t="shared" si="15"/>
        <v>0.5</v>
      </c>
      <c r="E54" s="52">
        <f t="shared" si="15"/>
        <v>0.5</v>
      </c>
      <c r="F54" s="52">
        <f t="shared" si="15"/>
        <v>0.5</v>
      </c>
      <c r="G54" s="52">
        <f t="shared" si="15"/>
        <v>0.5</v>
      </c>
      <c r="H54" s="52">
        <f t="shared" si="15"/>
        <v>0.5</v>
      </c>
      <c r="I54" s="52">
        <f t="shared" si="15"/>
        <v>0.5</v>
      </c>
      <c r="J54" s="52">
        <f t="shared" si="15"/>
        <v>0.5</v>
      </c>
      <c r="K54" s="52">
        <f t="shared" si="15"/>
        <v>0.5</v>
      </c>
      <c r="L54" s="52">
        <f t="shared" si="15"/>
        <v>0.5</v>
      </c>
      <c r="M54" s="52">
        <f t="shared" si="15"/>
        <v>0.5</v>
      </c>
      <c r="N54" s="52">
        <f t="shared" si="15"/>
        <v>0.5</v>
      </c>
    </row>
    <row r="55" spans="1:14" x14ac:dyDescent="0.2">
      <c r="A55" t="s">
        <v>114</v>
      </c>
      <c r="C55" s="52">
        <f t="shared" ref="C55:N55" si="16">IF(C73,C12/C73,0.5)</f>
        <v>0.5</v>
      </c>
      <c r="D55" s="52">
        <f t="shared" si="16"/>
        <v>0.5</v>
      </c>
      <c r="E55" s="52">
        <f t="shared" si="16"/>
        <v>0.5</v>
      </c>
      <c r="F55" s="52">
        <f t="shared" si="16"/>
        <v>0.5</v>
      </c>
      <c r="G55" s="52">
        <f t="shared" si="16"/>
        <v>0.5</v>
      </c>
      <c r="H55" s="52">
        <f t="shared" si="16"/>
        <v>0.5</v>
      </c>
      <c r="I55" s="52">
        <f t="shared" si="16"/>
        <v>0.5</v>
      </c>
      <c r="J55" s="52">
        <f t="shared" si="16"/>
        <v>0.5</v>
      </c>
      <c r="K55" s="52">
        <f t="shared" si="16"/>
        <v>0.5</v>
      </c>
      <c r="L55" s="52">
        <f t="shared" si="16"/>
        <v>0.5</v>
      </c>
      <c r="M55" s="52">
        <f t="shared" si="16"/>
        <v>0.5</v>
      </c>
      <c r="N55" s="52">
        <f t="shared" si="16"/>
        <v>0.5</v>
      </c>
    </row>
    <row r="56" spans="1:14" x14ac:dyDescent="0.2">
      <c r="A56" t="s">
        <v>115</v>
      </c>
      <c r="C56" s="52">
        <f t="shared" ref="C56:N56" si="17">IF(C74,C13/C74,0.5)</f>
        <v>0.5</v>
      </c>
      <c r="D56" s="52">
        <f t="shared" si="17"/>
        <v>0.5</v>
      </c>
      <c r="E56" s="52">
        <f t="shared" si="17"/>
        <v>0.5</v>
      </c>
      <c r="F56" s="52">
        <f t="shared" si="17"/>
        <v>0.5</v>
      </c>
      <c r="G56" s="52">
        <f t="shared" si="17"/>
        <v>0.5</v>
      </c>
      <c r="H56" s="52">
        <f t="shared" si="17"/>
        <v>0.5</v>
      </c>
      <c r="I56" s="52">
        <f t="shared" si="17"/>
        <v>0.5</v>
      </c>
      <c r="J56" s="52">
        <f t="shared" si="17"/>
        <v>0.5</v>
      </c>
      <c r="K56" s="52">
        <f t="shared" si="17"/>
        <v>0.5</v>
      </c>
      <c r="L56" s="52">
        <f t="shared" si="17"/>
        <v>0.5</v>
      </c>
      <c r="M56" s="52">
        <f t="shared" si="17"/>
        <v>0.5</v>
      </c>
      <c r="N56" s="52">
        <f t="shared" si="17"/>
        <v>0.5</v>
      </c>
    </row>
    <row r="57" spans="1:14" x14ac:dyDescent="0.2">
      <c r="A57" s="8" t="s">
        <v>58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</row>
    <row r="58" spans="1:14" x14ac:dyDescent="0.2">
      <c r="A58" s="8" t="str">
        <f t="shared" ref="A58:A64" si="18">A50</f>
        <v>Proportion</v>
      </c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</row>
    <row r="59" spans="1:14" x14ac:dyDescent="0.2">
      <c r="A59" t="str">
        <f t="shared" si="18"/>
        <v>CARS</v>
      </c>
      <c r="C59" s="52">
        <f t="shared" ref="C59:N59" si="19">IF(C69,C19/C69,0.5)</f>
        <v>0.5</v>
      </c>
      <c r="D59" s="52">
        <f t="shared" si="19"/>
        <v>0.5</v>
      </c>
      <c r="E59" s="52">
        <f t="shared" si="19"/>
        <v>0.5</v>
      </c>
      <c r="F59" s="52">
        <f t="shared" si="19"/>
        <v>0.5</v>
      </c>
      <c r="G59" s="52">
        <f t="shared" si="19"/>
        <v>0.5</v>
      </c>
      <c r="H59" s="52">
        <f t="shared" si="19"/>
        <v>0.5</v>
      </c>
      <c r="I59" s="52">
        <f t="shared" si="19"/>
        <v>0.5</v>
      </c>
      <c r="J59" s="52">
        <f t="shared" si="19"/>
        <v>0.5</v>
      </c>
      <c r="K59" s="52">
        <f t="shared" si="19"/>
        <v>0.5</v>
      </c>
      <c r="L59" s="52">
        <f t="shared" si="19"/>
        <v>0.5</v>
      </c>
      <c r="M59" s="52">
        <f t="shared" si="19"/>
        <v>0.5</v>
      </c>
      <c r="N59" s="52">
        <f t="shared" si="19"/>
        <v>0.5</v>
      </c>
    </row>
    <row r="60" spans="1:14" x14ac:dyDescent="0.2">
      <c r="A60" t="str">
        <f t="shared" si="18"/>
        <v>CAR TOW</v>
      </c>
      <c r="C60" s="52">
        <f t="shared" ref="C60:N60" si="20">IF(C70,C20/C70,0.5)</f>
        <v>0.5</v>
      </c>
      <c r="D60" s="52">
        <f t="shared" si="20"/>
        <v>0.5</v>
      </c>
      <c r="E60" s="52">
        <f t="shared" si="20"/>
        <v>0.5</v>
      </c>
      <c r="F60" s="52">
        <f t="shared" si="20"/>
        <v>0.5</v>
      </c>
      <c r="G60" s="52">
        <f t="shared" si="20"/>
        <v>0.5</v>
      </c>
      <c r="H60" s="52">
        <f t="shared" si="20"/>
        <v>0.5</v>
      </c>
      <c r="I60" s="52">
        <f t="shared" si="20"/>
        <v>0.5</v>
      </c>
      <c r="J60" s="52">
        <f t="shared" si="20"/>
        <v>0.5</v>
      </c>
      <c r="K60" s="52">
        <f t="shared" si="20"/>
        <v>0.5</v>
      </c>
      <c r="L60" s="52">
        <f t="shared" si="20"/>
        <v>0.5</v>
      </c>
      <c r="M60" s="52">
        <f t="shared" si="20"/>
        <v>0.5</v>
      </c>
      <c r="N60" s="52">
        <f t="shared" si="20"/>
        <v>0.5</v>
      </c>
    </row>
    <row r="61" spans="1:14" x14ac:dyDescent="0.2">
      <c r="A61" t="str">
        <f t="shared" si="18"/>
        <v>RIGIDS</v>
      </c>
      <c r="C61" s="52">
        <f t="shared" ref="C61:N61" si="21">IF(C71,C21/C71,0.5)</f>
        <v>0.5</v>
      </c>
      <c r="D61" s="52">
        <f t="shared" si="21"/>
        <v>0.5</v>
      </c>
      <c r="E61" s="52">
        <f t="shared" si="21"/>
        <v>0.5</v>
      </c>
      <c r="F61" s="52">
        <f t="shared" si="21"/>
        <v>0.5</v>
      </c>
      <c r="G61" s="52">
        <f t="shared" si="21"/>
        <v>0.5</v>
      </c>
      <c r="H61" s="52">
        <f t="shared" si="21"/>
        <v>0.5</v>
      </c>
      <c r="I61" s="52">
        <f t="shared" si="21"/>
        <v>0.5</v>
      </c>
      <c r="J61" s="52">
        <f t="shared" si="21"/>
        <v>0.5</v>
      </c>
      <c r="K61" s="52">
        <f t="shared" si="21"/>
        <v>0.5</v>
      </c>
      <c r="L61" s="52">
        <f t="shared" si="21"/>
        <v>0.5</v>
      </c>
      <c r="M61" s="52">
        <f t="shared" si="21"/>
        <v>0.5</v>
      </c>
      <c r="N61" s="52">
        <f t="shared" si="21"/>
        <v>0.5</v>
      </c>
    </row>
    <row r="62" spans="1:14" x14ac:dyDescent="0.2">
      <c r="A62" t="str">
        <f t="shared" si="18"/>
        <v>SGLARTC</v>
      </c>
      <c r="C62" s="52">
        <f t="shared" ref="C62:N62" si="22">IF(C72,C22/C72,0.5)</f>
        <v>0.5</v>
      </c>
      <c r="D62" s="52">
        <f t="shared" si="22"/>
        <v>0.5</v>
      </c>
      <c r="E62" s="52">
        <f t="shared" si="22"/>
        <v>0.5</v>
      </c>
      <c r="F62" s="52">
        <f t="shared" si="22"/>
        <v>0.5</v>
      </c>
      <c r="G62" s="52">
        <f t="shared" si="22"/>
        <v>0.5</v>
      </c>
      <c r="H62" s="52">
        <f t="shared" si="22"/>
        <v>0.5</v>
      </c>
      <c r="I62" s="52">
        <f t="shared" si="22"/>
        <v>0.5</v>
      </c>
      <c r="J62" s="52">
        <f t="shared" si="22"/>
        <v>0.5</v>
      </c>
      <c r="K62" s="52">
        <f t="shared" si="22"/>
        <v>0.5</v>
      </c>
      <c r="L62" s="52">
        <f t="shared" si="22"/>
        <v>0.5</v>
      </c>
      <c r="M62" s="52">
        <f t="shared" si="22"/>
        <v>0.5</v>
      </c>
      <c r="N62" s="52">
        <f t="shared" si="22"/>
        <v>0.5</v>
      </c>
    </row>
    <row r="63" spans="1:14" x14ac:dyDescent="0.2">
      <c r="A63" t="str">
        <f t="shared" si="18"/>
        <v>DBLARTC</v>
      </c>
      <c r="C63" s="52">
        <f t="shared" ref="C63:N63" si="23">IF(C73,C23/C73,0.5)</f>
        <v>0.5</v>
      </c>
      <c r="D63" s="52">
        <f t="shared" si="23"/>
        <v>0.5</v>
      </c>
      <c r="E63" s="52">
        <f t="shared" si="23"/>
        <v>0.5</v>
      </c>
      <c r="F63" s="52">
        <f t="shared" si="23"/>
        <v>0.5</v>
      </c>
      <c r="G63" s="52">
        <f t="shared" si="23"/>
        <v>0.5</v>
      </c>
      <c r="H63" s="52">
        <f t="shared" si="23"/>
        <v>0.5</v>
      </c>
      <c r="I63" s="52">
        <f t="shared" si="23"/>
        <v>0.5</v>
      </c>
      <c r="J63" s="52">
        <f t="shared" si="23"/>
        <v>0.5</v>
      </c>
      <c r="K63" s="52">
        <f t="shared" si="23"/>
        <v>0.5</v>
      </c>
      <c r="L63" s="52">
        <f t="shared" si="23"/>
        <v>0.5</v>
      </c>
      <c r="M63" s="52">
        <f t="shared" si="23"/>
        <v>0.5</v>
      </c>
      <c r="N63" s="52">
        <f t="shared" si="23"/>
        <v>0.5</v>
      </c>
    </row>
    <row r="64" spans="1:14" x14ac:dyDescent="0.2">
      <c r="A64" t="str">
        <f t="shared" si="18"/>
        <v>RDTRAIN</v>
      </c>
      <c r="C64" s="52">
        <f t="shared" ref="C64:N64" si="24">IF(C74,C24/C74,0.5)</f>
        <v>0.5</v>
      </c>
      <c r="D64" s="52">
        <f t="shared" si="24"/>
        <v>0.5</v>
      </c>
      <c r="E64" s="52">
        <f t="shared" si="24"/>
        <v>0.5</v>
      </c>
      <c r="F64" s="52">
        <f t="shared" si="24"/>
        <v>0.5</v>
      </c>
      <c r="G64" s="52">
        <f t="shared" si="24"/>
        <v>0.5</v>
      </c>
      <c r="H64" s="52">
        <f t="shared" si="24"/>
        <v>0.5</v>
      </c>
      <c r="I64" s="52">
        <f t="shared" si="24"/>
        <v>0.5</v>
      </c>
      <c r="J64" s="52">
        <f t="shared" si="24"/>
        <v>0.5</v>
      </c>
      <c r="K64" s="52">
        <f t="shared" si="24"/>
        <v>0.5</v>
      </c>
      <c r="L64" s="52">
        <f t="shared" si="24"/>
        <v>0.5</v>
      </c>
      <c r="M64" s="52">
        <f t="shared" si="24"/>
        <v>0.5</v>
      </c>
      <c r="N64" s="52">
        <f t="shared" si="24"/>
        <v>0.5</v>
      </c>
    </row>
    <row r="66" spans="1:14" x14ac:dyDescent="0.2">
      <c r="A66" t="s">
        <v>116</v>
      </c>
    </row>
    <row r="67" spans="1:14" x14ac:dyDescent="0.2">
      <c r="A67" s="8" t="s">
        <v>117</v>
      </c>
    </row>
    <row r="68" spans="1:14" x14ac:dyDescent="0.2">
      <c r="A68" s="8" t="s">
        <v>118</v>
      </c>
    </row>
    <row r="69" spans="1:14" x14ac:dyDescent="0.2">
      <c r="A69" t="str">
        <f t="shared" ref="A69:A74" si="25">A51</f>
        <v>CARS</v>
      </c>
      <c r="C69" s="30">
        <f t="shared" ref="C69:N69" si="26">C8+C19</f>
        <v>0</v>
      </c>
      <c r="D69" s="30">
        <f t="shared" si="26"/>
        <v>0</v>
      </c>
      <c r="E69" s="30">
        <f t="shared" si="26"/>
        <v>0</v>
      </c>
      <c r="F69" s="30">
        <f t="shared" si="26"/>
        <v>0</v>
      </c>
      <c r="G69" s="30">
        <f t="shared" si="26"/>
        <v>0</v>
      </c>
      <c r="H69" s="30">
        <f t="shared" si="26"/>
        <v>0</v>
      </c>
      <c r="I69" s="30">
        <f t="shared" si="26"/>
        <v>0</v>
      </c>
      <c r="J69" s="30">
        <f t="shared" si="26"/>
        <v>0</v>
      </c>
      <c r="K69" s="30">
        <f t="shared" si="26"/>
        <v>0</v>
      </c>
      <c r="L69" s="30">
        <f t="shared" si="26"/>
        <v>0</v>
      </c>
      <c r="M69" s="30">
        <f t="shared" si="26"/>
        <v>0</v>
      </c>
      <c r="N69" s="30">
        <f t="shared" si="26"/>
        <v>0</v>
      </c>
    </row>
    <row r="70" spans="1:14" x14ac:dyDescent="0.2">
      <c r="A70" t="str">
        <f t="shared" si="25"/>
        <v>CAR TOW</v>
      </c>
      <c r="C70" s="30">
        <f t="shared" ref="C70:N70" si="27">C9+C20</f>
        <v>0</v>
      </c>
      <c r="D70" s="30">
        <f t="shared" si="27"/>
        <v>0</v>
      </c>
      <c r="E70" s="30">
        <f t="shared" si="27"/>
        <v>0</v>
      </c>
      <c r="F70" s="30">
        <f t="shared" si="27"/>
        <v>0</v>
      </c>
      <c r="G70" s="30">
        <f t="shared" si="27"/>
        <v>0</v>
      </c>
      <c r="H70" s="30">
        <f t="shared" si="27"/>
        <v>0</v>
      </c>
      <c r="I70" s="30">
        <f t="shared" si="27"/>
        <v>0</v>
      </c>
      <c r="J70" s="30">
        <f t="shared" si="27"/>
        <v>0</v>
      </c>
      <c r="K70" s="30">
        <f t="shared" si="27"/>
        <v>0</v>
      </c>
      <c r="L70" s="30">
        <f t="shared" si="27"/>
        <v>0</v>
      </c>
      <c r="M70" s="30">
        <f t="shared" si="27"/>
        <v>0</v>
      </c>
      <c r="N70" s="30">
        <f t="shared" si="27"/>
        <v>0</v>
      </c>
    </row>
    <row r="71" spans="1:14" x14ac:dyDescent="0.2">
      <c r="A71" t="str">
        <f t="shared" si="25"/>
        <v>RIGIDS</v>
      </c>
      <c r="C71" s="30">
        <f t="shared" ref="C71:N71" si="28">C10+C21</f>
        <v>0</v>
      </c>
      <c r="D71" s="30">
        <f t="shared" si="28"/>
        <v>0</v>
      </c>
      <c r="E71" s="30">
        <f t="shared" si="28"/>
        <v>0</v>
      </c>
      <c r="F71" s="30">
        <f t="shared" si="28"/>
        <v>0</v>
      </c>
      <c r="G71" s="30">
        <f t="shared" si="28"/>
        <v>0</v>
      </c>
      <c r="H71" s="30">
        <f t="shared" si="28"/>
        <v>0</v>
      </c>
      <c r="I71" s="30">
        <f t="shared" si="28"/>
        <v>0</v>
      </c>
      <c r="J71" s="30">
        <f t="shared" si="28"/>
        <v>0</v>
      </c>
      <c r="K71" s="30">
        <f t="shared" si="28"/>
        <v>0</v>
      </c>
      <c r="L71" s="30">
        <f t="shared" si="28"/>
        <v>0</v>
      </c>
      <c r="M71" s="30">
        <f t="shared" si="28"/>
        <v>0</v>
      </c>
      <c r="N71" s="30">
        <f t="shared" si="28"/>
        <v>0</v>
      </c>
    </row>
    <row r="72" spans="1:14" x14ac:dyDescent="0.2">
      <c r="A72" t="str">
        <f t="shared" si="25"/>
        <v>SGLARTC</v>
      </c>
      <c r="C72" s="30">
        <f t="shared" ref="C72:N72" si="29">C11+C22</f>
        <v>0</v>
      </c>
      <c r="D72" s="30">
        <f t="shared" si="29"/>
        <v>0</v>
      </c>
      <c r="E72" s="30">
        <f t="shared" si="29"/>
        <v>0</v>
      </c>
      <c r="F72" s="30">
        <f t="shared" si="29"/>
        <v>0</v>
      </c>
      <c r="G72" s="30">
        <f t="shared" si="29"/>
        <v>0</v>
      </c>
      <c r="H72" s="30">
        <f t="shared" si="29"/>
        <v>0</v>
      </c>
      <c r="I72" s="30">
        <f t="shared" si="29"/>
        <v>0</v>
      </c>
      <c r="J72" s="30">
        <f t="shared" si="29"/>
        <v>0</v>
      </c>
      <c r="K72" s="30">
        <f t="shared" si="29"/>
        <v>0</v>
      </c>
      <c r="L72" s="30">
        <f t="shared" si="29"/>
        <v>0</v>
      </c>
      <c r="M72" s="30">
        <f t="shared" si="29"/>
        <v>0</v>
      </c>
      <c r="N72" s="30">
        <f t="shared" si="29"/>
        <v>0</v>
      </c>
    </row>
    <row r="73" spans="1:14" x14ac:dyDescent="0.2">
      <c r="A73" t="str">
        <f t="shared" si="25"/>
        <v>DBLARTC</v>
      </c>
      <c r="C73" s="30">
        <f t="shared" ref="C73:N73" si="30">C12+C23</f>
        <v>0</v>
      </c>
      <c r="D73" s="30">
        <f t="shared" si="30"/>
        <v>0</v>
      </c>
      <c r="E73" s="30">
        <f t="shared" si="30"/>
        <v>0</v>
      </c>
      <c r="F73" s="30">
        <f t="shared" si="30"/>
        <v>0</v>
      </c>
      <c r="G73" s="30">
        <f t="shared" si="30"/>
        <v>0</v>
      </c>
      <c r="H73" s="30">
        <f t="shared" si="30"/>
        <v>0</v>
      </c>
      <c r="I73" s="30">
        <f t="shared" si="30"/>
        <v>0</v>
      </c>
      <c r="J73" s="30">
        <f t="shared" si="30"/>
        <v>0</v>
      </c>
      <c r="K73" s="30">
        <f t="shared" si="30"/>
        <v>0</v>
      </c>
      <c r="L73" s="30">
        <f t="shared" si="30"/>
        <v>0</v>
      </c>
      <c r="M73" s="30">
        <f t="shared" si="30"/>
        <v>0</v>
      </c>
      <c r="N73" s="30">
        <f t="shared" si="30"/>
        <v>0</v>
      </c>
    </row>
    <row r="74" spans="1:14" x14ac:dyDescent="0.2">
      <c r="A74" t="str">
        <f t="shared" si="25"/>
        <v>RDTRAIN</v>
      </c>
      <c r="C74" s="30">
        <f t="shared" ref="C74:N74" si="31">C13+C24</f>
        <v>0</v>
      </c>
      <c r="D74" s="30">
        <f t="shared" si="31"/>
        <v>0</v>
      </c>
      <c r="E74" s="30">
        <f t="shared" si="31"/>
        <v>0</v>
      </c>
      <c r="F74" s="30">
        <f t="shared" si="31"/>
        <v>0</v>
      </c>
      <c r="G74" s="30">
        <f t="shared" si="31"/>
        <v>0</v>
      </c>
      <c r="H74" s="30">
        <f t="shared" si="31"/>
        <v>0</v>
      </c>
      <c r="I74" s="30">
        <f t="shared" si="31"/>
        <v>0</v>
      </c>
      <c r="J74" s="30">
        <f t="shared" si="31"/>
        <v>0</v>
      </c>
      <c r="K74" s="30">
        <f t="shared" si="31"/>
        <v>0</v>
      </c>
      <c r="L74" s="30">
        <f t="shared" si="31"/>
        <v>0</v>
      </c>
      <c r="M74" s="30">
        <f t="shared" si="31"/>
        <v>0</v>
      </c>
      <c r="N74" s="30">
        <f t="shared" si="31"/>
        <v>0</v>
      </c>
    </row>
    <row r="75" spans="1:14" x14ac:dyDescent="0.2">
      <c r="H75" s="15"/>
    </row>
    <row r="76" spans="1:14" x14ac:dyDescent="0.2">
      <c r="H76" s="15"/>
    </row>
    <row r="77" spans="1:14" x14ac:dyDescent="0.2">
      <c r="A77" t="s">
        <v>119</v>
      </c>
      <c r="C77" s="53">
        <v>1</v>
      </c>
      <c r="D77" s="53">
        <v>1</v>
      </c>
      <c r="E77" s="53">
        <v>1</v>
      </c>
      <c r="F77" s="53">
        <v>1</v>
      </c>
      <c r="G77" s="53">
        <v>1</v>
      </c>
      <c r="H77" s="53">
        <v>1</v>
      </c>
      <c r="I77" s="53">
        <v>1</v>
      </c>
      <c r="J77" s="53">
        <v>1</v>
      </c>
      <c r="K77" s="53">
        <v>1</v>
      </c>
      <c r="L77" s="53">
        <v>1</v>
      </c>
      <c r="M77" s="53">
        <v>1</v>
      </c>
      <c r="N77" s="53">
        <v>1</v>
      </c>
    </row>
    <row r="78" spans="1:14" ht="12.75" customHeight="1" x14ac:dyDescent="0.2">
      <c r="A78" t="s">
        <v>120</v>
      </c>
      <c r="C78" s="53">
        <v>1</v>
      </c>
      <c r="D78" s="53">
        <v>1</v>
      </c>
      <c r="E78" s="53">
        <v>1</v>
      </c>
      <c r="F78" s="53">
        <v>1</v>
      </c>
      <c r="G78" s="53">
        <v>1</v>
      </c>
      <c r="H78" s="53">
        <v>1</v>
      </c>
      <c r="I78" s="53">
        <v>1</v>
      </c>
      <c r="J78" s="53">
        <v>1</v>
      </c>
      <c r="K78" s="53">
        <v>1</v>
      </c>
      <c r="L78" s="53">
        <v>1</v>
      </c>
      <c r="M78" s="53">
        <v>1</v>
      </c>
      <c r="N78" s="53">
        <v>1</v>
      </c>
    </row>
    <row r="79" spans="1:14" x14ac:dyDescent="0.2">
      <c r="A79" t="s">
        <v>121</v>
      </c>
      <c r="C79" s="53">
        <v>1</v>
      </c>
      <c r="D79" s="53">
        <v>1</v>
      </c>
      <c r="E79" s="53">
        <v>1</v>
      </c>
      <c r="F79" s="53">
        <v>1</v>
      </c>
      <c r="G79" s="53">
        <v>1</v>
      </c>
      <c r="H79" s="53">
        <v>1</v>
      </c>
      <c r="I79" s="53">
        <v>1</v>
      </c>
      <c r="J79" s="53">
        <v>1</v>
      </c>
      <c r="K79" s="53">
        <v>1</v>
      </c>
      <c r="L79" s="53">
        <v>1</v>
      </c>
      <c r="M79" s="53">
        <v>1</v>
      </c>
      <c r="N79" s="53">
        <v>1</v>
      </c>
    </row>
    <row r="80" spans="1:14" x14ac:dyDescent="0.2">
      <c r="A80" t="s">
        <v>122</v>
      </c>
      <c r="C80" s="53">
        <v>1</v>
      </c>
      <c r="D80" s="53">
        <v>1</v>
      </c>
      <c r="E80" s="53">
        <v>1</v>
      </c>
      <c r="F80" s="53">
        <v>1</v>
      </c>
      <c r="G80" s="53">
        <v>1</v>
      </c>
      <c r="H80" s="53">
        <v>1</v>
      </c>
      <c r="I80" s="53">
        <v>1</v>
      </c>
      <c r="J80" s="53">
        <v>1</v>
      </c>
      <c r="K80" s="53">
        <v>1</v>
      </c>
      <c r="L80" s="53">
        <v>1</v>
      </c>
      <c r="M80" s="53">
        <v>1</v>
      </c>
      <c r="N80" s="53">
        <v>1</v>
      </c>
    </row>
    <row r="81" spans="1:14" x14ac:dyDescent="0.2">
      <c r="A81" t="s">
        <v>123</v>
      </c>
      <c r="C81" s="53">
        <v>1</v>
      </c>
      <c r="D81" s="53">
        <v>1</v>
      </c>
      <c r="E81" s="53">
        <v>1</v>
      </c>
      <c r="F81" s="53">
        <v>1</v>
      </c>
      <c r="G81" s="53">
        <v>1</v>
      </c>
      <c r="H81" s="53">
        <v>1</v>
      </c>
      <c r="I81" s="53">
        <v>1</v>
      </c>
      <c r="J81" s="53">
        <v>1</v>
      </c>
      <c r="K81" s="53">
        <v>1</v>
      </c>
      <c r="L81" s="53">
        <v>1</v>
      </c>
      <c r="M81" s="53">
        <v>1</v>
      </c>
      <c r="N81" s="53">
        <v>1</v>
      </c>
    </row>
    <row r="82" spans="1:14" x14ac:dyDescent="0.2">
      <c r="A82" t="s">
        <v>124</v>
      </c>
      <c r="C82" s="53">
        <v>1</v>
      </c>
      <c r="D82" s="53">
        <v>1</v>
      </c>
      <c r="E82" s="53">
        <v>1</v>
      </c>
      <c r="F82" s="53">
        <v>1</v>
      </c>
      <c r="G82" s="53">
        <v>1</v>
      </c>
      <c r="H82" s="53">
        <v>1</v>
      </c>
      <c r="I82" s="53">
        <v>1</v>
      </c>
      <c r="J82" s="53">
        <v>1</v>
      </c>
      <c r="K82" s="53">
        <v>1</v>
      </c>
      <c r="L82" s="53">
        <v>1</v>
      </c>
      <c r="M82" s="53">
        <v>1</v>
      </c>
      <c r="N82" s="53">
        <v>1</v>
      </c>
    </row>
    <row r="83" spans="1:14" ht="12.75" customHeight="1" x14ac:dyDescent="0.2">
      <c r="A83" t="s">
        <v>125</v>
      </c>
      <c r="C83" s="53">
        <v>1</v>
      </c>
      <c r="D83" s="53">
        <v>1</v>
      </c>
      <c r="E83" s="53">
        <v>1</v>
      </c>
      <c r="F83" s="53">
        <v>1</v>
      </c>
      <c r="G83" s="53">
        <v>1</v>
      </c>
      <c r="H83" s="53">
        <v>1</v>
      </c>
      <c r="I83" s="53">
        <v>1</v>
      </c>
      <c r="J83" s="53">
        <v>1</v>
      </c>
      <c r="K83" s="53">
        <v>1</v>
      </c>
      <c r="L83" s="53">
        <v>1</v>
      </c>
      <c r="M83" s="53">
        <v>1</v>
      </c>
      <c r="N83" s="53">
        <v>1</v>
      </c>
    </row>
    <row r="84" spans="1:14" x14ac:dyDescent="0.2">
      <c r="A84" t="s">
        <v>126</v>
      </c>
      <c r="C84" s="53">
        <v>1</v>
      </c>
      <c r="D84" s="53">
        <v>1</v>
      </c>
      <c r="E84" s="53">
        <v>1</v>
      </c>
      <c r="F84" s="53">
        <v>1</v>
      </c>
      <c r="G84" s="53">
        <v>1</v>
      </c>
      <c r="H84" s="53">
        <v>1</v>
      </c>
      <c r="I84" s="53">
        <v>1</v>
      </c>
      <c r="J84" s="53">
        <v>1</v>
      </c>
      <c r="K84" s="53">
        <v>1</v>
      </c>
      <c r="L84" s="53">
        <v>1</v>
      </c>
      <c r="M84" s="53">
        <v>1</v>
      </c>
      <c r="N84" s="53">
        <v>1</v>
      </c>
    </row>
    <row r="85" spans="1:14" x14ac:dyDescent="0.2">
      <c r="A85" t="s">
        <v>127</v>
      </c>
      <c r="C85" s="53">
        <v>1</v>
      </c>
      <c r="D85" s="53">
        <v>1</v>
      </c>
      <c r="E85" s="53">
        <v>1</v>
      </c>
      <c r="F85" s="53">
        <v>1</v>
      </c>
      <c r="G85" s="53">
        <v>1</v>
      </c>
      <c r="H85" s="53">
        <v>1</v>
      </c>
      <c r="I85" s="53">
        <v>1</v>
      </c>
      <c r="J85" s="53">
        <v>1</v>
      </c>
      <c r="K85" s="53">
        <v>1</v>
      </c>
      <c r="L85" s="53">
        <v>1</v>
      </c>
      <c r="M85" s="53">
        <v>1</v>
      </c>
      <c r="N85" s="53">
        <v>1</v>
      </c>
    </row>
    <row r="86" spans="1:14" x14ac:dyDescent="0.2">
      <c r="A86" t="s">
        <v>128</v>
      </c>
      <c r="C86" s="53">
        <v>1</v>
      </c>
      <c r="D86" s="53">
        <v>1</v>
      </c>
      <c r="E86" s="53">
        <v>1</v>
      </c>
      <c r="F86" s="53">
        <v>1</v>
      </c>
      <c r="G86" s="53">
        <v>1</v>
      </c>
      <c r="H86" s="53">
        <v>1</v>
      </c>
      <c r="I86" s="53">
        <v>1</v>
      </c>
      <c r="J86" s="53">
        <v>1</v>
      </c>
      <c r="K86" s="53">
        <v>1</v>
      </c>
      <c r="L86" s="53">
        <v>1</v>
      </c>
      <c r="M86" s="53">
        <v>1</v>
      </c>
      <c r="N86" s="53">
        <v>1</v>
      </c>
    </row>
    <row r="88" spans="1:14" x14ac:dyDescent="0.2">
      <c r="A88" t="s">
        <v>129</v>
      </c>
      <c r="C88" s="53">
        <v>209774</v>
      </c>
      <c r="D88" s="53">
        <v>44467</v>
      </c>
      <c r="E88" s="53">
        <v>414176</v>
      </c>
      <c r="F88" s="53">
        <v>752495</v>
      </c>
      <c r="G88" s="53">
        <v>574030</v>
      </c>
      <c r="H88" s="53">
        <v>480847</v>
      </c>
      <c r="I88" s="53">
        <v>190926</v>
      </c>
      <c r="J88" s="53">
        <v>898659</v>
      </c>
      <c r="K88" s="53">
        <v>506144</v>
      </c>
      <c r="L88" s="53">
        <v>287667</v>
      </c>
      <c r="M88" s="53">
        <v>180009</v>
      </c>
      <c r="N88" s="53">
        <v>554630</v>
      </c>
    </row>
    <row r="89" spans="1:14" x14ac:dyDescent="0.2">
      <c r="A89" t="s">
        <v>130</v>
      </c>
      <c r="C89" s="53">
        <v>272164</v>
      </c>
      <c r="D89" s="53">
        <v>372425</v>
      </c>
      <c r="E89" s="53">
        <v>13650</v>
      </c>
      <c r="F89" s="53">
        <v>950577</v>
      </c>
      <c r="G89" s="53">
        <v>753646</v>
      </c>
      <c r="H89" s="53">
        <v>845184</v>
      </c>
      <c r="I89" s="53">
        <v>723477</v>
      </c>
      <c r="J89" s="53">
        <v>338744</v>
      </c>
      <c r="K89" s="53">
        <v>487650</v>
      </c>
      <c r="L89" s="53">
        <v>787983</v>
      </c>
      <c r="M89" s="53">
        <v>463448</v>
      </c>
      <c r="N89" s="53">
        <v>849149</v>
      </c>
    </row>
    <row r="90" spans="1:14" ht="12.75" customHeight="1" x14ac:dyDescent="0.2">
      <c r="A90" t="s">
        <v>131</v>
      </c>
      <c r="C90" s="53">
        <v>191943</v>
      </c>
      <c r="D90" s="53">
        <v>315554</v>
      </c>
      <c r="E90" s="53">
        <v>139288</v>
      </c>
      <c r="F90" s="53">
        <v>272099</v>
      </c>
      <c r="G90" s="53">
        <v>746264</v>
      </c>
      <c r="H90" s="53">
        <v>375229</v>
      </c>
      <c r="I90" s="53">
        <v>62947</v>
      </c>
      <c r="J90" s="53">
        <v>307400</v>
      </c>
      <c r="K90" s="53">
        <v>43302</v>
      </c>
      <c r="L90" s="53">
        <v>388894</v>
      </c>
      <c r="M90" s="53">
        <v>286950</v>
      </c>
      <c r="N90" s="53">
        <v>460040</v>
      </c>
    </row>
    <row r="91" spans="1:14" x14ac:dyDescent="0.2">
      <c r="A91" t="s">
        <v>132</v>
      </c>
      <c r="C91" s="53">
        <v>330415</v>
      </c>
      <c r="D91" s="53">
        <v>519552</v>
      </c>
      <c r="E91" s="53">
        <v>430539</v>
      </c>
      <c r="F91" s="53">
        <v>549939</v>
      </c>
      <c r="G91" s="53">
        <v>39399</v>
      </c>
      <c r="H91" s="53">
        <v>745061</v>
      </c>
      <c r="I91" s="53">
        <v>99761</v>
      </c>
      <c r="J91" s="53">
        <v>19080</v>
      </c>
      <c r="K91" s="53">
        <v>439534</v>
      </c>
      <c r="L91" s="53">
        <v>977501</v>
      </c>
      <c r="M91" s="53">
        <v>786987</v>
      </c>
      <c r="N91" s="53">
        <v>789060</v>
      </c>
    </row>
    <row r="92" spans="1:14" x14ac:dyDescent="0.2">
      <c r="A92" t="s">
        <v>133</v>
      </c>
      <c r="C92" s="53">
        <v>85307</v>
      </c>
      <c r="D92" s="53">
        <v>106898</v>
      </c>
      <c r="E92" s="53">
        <v>896212</v>
      </c>
      <c r="F92" s="53">
        <v>512233</v>
      </c>
      <c r="G92" s="53">
        <v>75511</v>
      </c>
      <c r="H92" s="53">
        <v>707121</v>
      </c>
      <c r="I92" s="53">
        <v>521147</v>
      </c>
      <c r="J92" s="53">
        <v>450683</v>
      </c>
      <c r="K92" s="53">
        <v>619779</v>
      </c>
      <c r="L92" s="53">
        <v>455365</v>
      </c>
      <c r="M92" s="53">
        <v>269828</v>
      </c>
      <c r="N92" s="53">
        <v>902344</v>
      </c>
    </row>
    <row r="93" spans="1:14" ht="13.5" customHeight="1" x14ac:dyDescent="0.2">
      <c r="A93" t="s">
        <v>134</v>
      </c>
      <c r="C93" s="53">
        <v>633471</v>
      </c>
      <c r="D93" s="53">
        <v>909154</v>
      </c>
      <c r="E93" s="53">
        <v>493367</v>
      </c>
      <c r="F93" s="53">
        <v>178813</v>
      </c>
      <c r="G93" s="53">
        <v>436569</v>
      </c>
      <c r="H93" s="53">
        <v>628423</v>
      </c>
      <c r="I93" s="53">
        <v>651506</v>
      </c>
      <c r="J93" s="53">
        <v>415089</v>
      </c>
      <c r="K93" s="53">
        <v>813960</v>
      </c>
      <c r="L93" s="53">
        <v>881402</v>
      </c>
      <c r="M93" s="53">
        <v>770444</v>
      </c>
      <c r="N93" s="53">
        <v>613004</v>
      </c>
    </row>
    <row r="94" spans="1:14" ht="13.5" customHeight="1" x14ac:dyDescent="0.2">
      <c r="A94" t="s">
        <v>135</v>
      </c>
      <c r="C94" s="53">
        <v>672769</v>
      </c>
      <c r="D94" s="53">
        <v>107356</v>
      </c>
      <c r="E94" s="53">
        <v>434204</v>
      </c>
      <c r="F94" s="53">
        <v>495597</v>
      </c>
      <c r="G94" s="53">
        <v>121608</v>
      </c>
      <c r="H94" s="53">
        <v>37891</v>
      </c>
      <c r="I94" s="53">
        <v>305326</v>
      </c>
      <c r="J94" s="53">
        <v>345380</v>
      </c>
      <c r="K94" s="53">
        <v>545375</v>
      </c>
      <c r="L94" s="53">
        <v>78870</v>
      </c>
      <c r="M94" s="53">
        <v>291297</v>
      </c>
      <c r="N94" s="53">
        <v>447920</v>
      </c>
    </row>
    <row r="95" spans="1:14" ht="13.5" customHeight="1" x14ac:dyDescent="0.2">
      <c r="A95" t="s">
        <v>136</v>
      </c>
      <c r="C95" s="53">
        <v>977242</v>
      </c>
      <c r="D95" s="53">
        <v>386197</v>
      </c>
      <c r="E95" s="53">
        <v>341032</v>
      </c>
      <c r="F95" s="53">
        <v>642566</v>
      </c>
      <c r="G95" s="53">
        <v>939575</v>
      </c>
      <c r="H95" s="53">
        <v>25520</v>
      </c>
      <c r="I95" s="53">
        <v>124514</v>
      </c>
      <c r="J95" s="53">
        <v>499194</v>
      </c>
      <c r="K95" s="53">
        <v>800176</v>
      </c>
      <c r="L95" s="53">
        <v>563553</v>
      </c>
      <c r="M95" s="53">
        <v>873199</v>
      </c>
      <c r="N95" s="53">
        <v>181145</v>
      </c>
    </row>
    <row r="96" spans="1:14" ht="13.5" customHeight="1" x14ac:dyDescent="0.2">
      <c r="A96" t="s">
        <v>137</v>
      </c>
      <c r="C96" s="53">
        <v>54363</v>
      </c>
      <c r="D96" s="53">
        <v>680621</v>
      </c>
      <c r="E96" s="53">
        <v>601482</v>
      </c>
      <c r="F96" s="53">
        <v>723391</v>
      </c>
      <c r="G96" s="53">
        <v>80021</v>
      </c>
      <c r="H96" s="53">
        <v>438480</v>
      </c>
      <c r="I96" s="53">
        <v>32773</v>
      </c>
      <c r="J96" s="53">
        <v>381234</v>
      </c>
      <c r="K96" s="53">
        <v>808499</v>
      </c>
      <c r="L96" s="53">
        <v>458384</v>
      </c>
      <c r="M96" s="53">
        <v>225795</v>
      </c>
      <c r="N96" s="53">
        <v>901609</v>
      </c>
    </row>
    <row r="97" spans="1:14" ht="13.5" customHeight="1" x14ac:dyDescent="0.2">
      <c r="A97" t="s">
        <v>138</v>
      </c>
      <c r="C97" s="53">
        <v>11398</v>
      </c>
      <c r="D97" s="53">
        <v>784884</v>
      </c>
      <c r="E97" s="53">
        <v>726115</v>
      </c>
      <c r="F97" s="53">
        <v>675085</v>
      </c>
      <c r="G97" s="53">
        <v>954562</v>
      </c>
      <c r="H97" s="53">
        <v>541427</v>
      </c>
      <c r="I97" s="53">
        <v>433236</v>
      </c>
      <c r="J97" s="53">
        <v>646888</v>
      </c>
      <c r="K97" s="53">
        <v>859961</v>
      </c>
      <c r="L97" s="53">
        <v>366631</v>
      </c>
      <c r="M97" s="53">
        <v>480112</v>
      </c>
      <c r="N97" s="53">
        <v>845861</v>
      </c>
    </row>
    <row r="98" spans="1:14" ht="13.5" customHeight="1" x14ac:dyDescent="0.2"/>
  </sheetData>
  <pageMargins left="0.39374999999999999" right="0.39374999999999999" top="0.98402777777777795" bottom="0.98402777777777795" header="0.51180555555555496" footer="0.51180555555555496"/>
  <pageSetup paperSize="9" firstPageNumber="0" orientation="portrait" horizontalDpi="300" verticalDpi="30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MK330"/>
  <sheetViews>
    <sheetView zoomScaleNormal="100" workbookViewId="0"/>
  </sheetViews>
  <sheetFormatPr defaultRowHeight="12.75" zeroHeight="1" x14ac:dyDescent="0.2"/>
  <cols>
    <col min="1" max="1" width="2.7109375" style="54" customWidth="1"/>
    <col min="2" max="2" width="12.7109375" style="55" customWidth="1"/>
    <col min="3" max="17" width="8.7109375" style="55" customWidth="1"/>
    <col min="18" max="18" width="8.85546875" style="55" customWidth="1"/>
    <col min="19" max="98" width="9.140625" style="54" customWidth="1"/>
    <col min="99" max="99" width="2.7109375" style="54" customWidth="1"/>
    <col min="100" max="100" width="12.7109375" style="54" customWidth="1"/>
    <col min="101" max="116" width="6.7109375" style="54" customWidth="1"/>
    <col min="117" max="117" width="2.7109375" style="54" customWidth="1"/>
    <col min="118" max="354" width="9.140625" style="54" hidden="1" customWidth="1"/>
    <col min="355" max="355" width="2.7109375" style="54" customWidth="1"/>
    <col min="356" max="356" width="12.7109375" style="54" customWidth="1"/>
    <col min="357" max="372" width="6.7109375" style="54" customWidth="1"/>
    <col min="373" max="373" width="2.7109375" style="54" customWidth="1"/>
    <col min="374" max="610" width="9.140625" style="54" hidden="1" customWidth="1"/>
    <col min="611" max="611" width="2.7109375" style="54" customWidth="1"/>
    <col min="612" max="612" width="12.7109375" style="54" customWidth="1"/>
    <col min="613" max="628" width="6.7109375" style="54" customWidth="1"/>
    <col min="629" max="629" width="2.7109375" style="54" customWidth="1"/>
    <col min="630" max="866" width="9.140625" style="54" hidden="1" customWidth="1"/>
    <col min="867" max="867" width="2.7109375" style="54" customWidth="1"/>
    <col min="868" max="868" width="12.7109375" style="54" customWidth="1"/>
    <col min="869" max="884" width="6.7109375" style="54" customWidth="1"/>
    <col min="885" max="885" width="2.7109375" style="54" customWidth="1"/>
    <col min="886" max="1025" width="9.140625" style="54" hidden="1" customWidth="1"/>
  </cols>
  <sheetData>
    <row r="1" spans="1:18" x14ac:dyDescent="0.2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x14ac:dyDescent="0.2">
      <c r="A2" s="56"/>
      <c r="B2" s="57" t="s">
        <v>139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</row>
    <row r="3" spans="1:18" x14ac:dyDescent="0.2">
      <c r="A3" s="56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</row>
    <row r="4" spans="1:18" ht="15.75" x14ac:dyDescent="0.25">
      <c r="A4" s="56"/>
      <c r="B4" s="59" t="s">
        <v>140</v>
      </c>
      <c r="C4" s="60" t="s">
        <v>141</v>
      </c>
      <c r="D4" s="61"/>
      <c r="E4" s="61"/>
      <c r="F4" s="61"/>
      <c r="G4" s="61"/>
      <c r="H4" s="61"/>
      <c r="I4" s="61"/>
      <c r="J4" s="61"/>
      <c r="K4" s="61"/>
      <c r="L4" s="61"/>
      <c r="M4" s="62" t="s">
        <v>142</v>
      </c>
      <c r="N4" s="62"/>
      <c r="O4" s="62"/>
      <c r="P4" s="62" t="s">
        <v>143</v>
      </c>
      <c r="Q4" s="62"/>
      <c r="R4" s="63"/>
    </row>
    <row r="5" spans="1:18" ht="12.75" customHeight="1" x14ac:dyDescent="0.2">
      <c r="A5" s="56"/>
      <c r="B5" s="64" t="s">
        <v>144</v>
      </c>
      <c r="C5" s="65" t="s">
        <v>145</v>
      </c>
      <c r="D5" s="65"/>
      <c r="E5" s="65"/>
      <c r="F5" s="66"/>
      <c r="G5" s="67" t="s">
        <v>146</v>
      </c>
      <c r="H5" s="68"/>
      <c r="I5" s="68"/>
      <c r="J5" s="69">
        <v>1276</v>
      </c>
      <c r="K5" s="69"/>
      <c r="L5" s="70"/>
      <c r="M5" s="71"/>
      <c r="N5" s="72"/>
      <c r="O5" s="72"/>
      <c r="P5" s="71"/>
      <c r="Q5" s="72"/>
      <c r="R5" s="73"/>
    </row>
    <row r="6" spans="1:18" ht="19.5" customHeight="1" x14ac:dyDescent="0.2">
      <c r="A6" s="56"/>
      <c r="B6" s="64"/>
      <c r="C6" s="65"/>
      <c r="D6" s="65"/>
      <c r="E6" s="65"/>
      <c r="F6" s="66"/>
      <c r="G6" s="74" t="s">
        <v>147</v>
      </c>
      <c r="H6" s="75"/>
      <c r="I6" s="75"/>
      <c r="J6" s="76">
        <v>90.3</v>
      </c>
      <c r="K6" s="76"/>
      <c r="L6" s="77"/>
      <c r="M6" s="71"/>
      <c r="N6" s="72"/>
      <c r="O6" s="72"/>
      <c r="P6" s="71"/>
      <c r="Q6" s="72"/>
      <c r="R6" s="73"/>
    </row>
    <row r="7" spans="1:18" ht="15.75" x14ac:dyDescent="0.25">
      <c r="A7" s="56"/>
      <c r="B7" s="78" t="s">
        <v>148</v>
      </c>
      <c r="C7" s="79">
        <v>95435</v>
      </c>
      <c r="D7" s="80"/>
      <c r="E7" s="80"/>
      <c r="F7" s="80"/>
      <c r="G7" s="74" t="s">
        <v>149</v>
      </c>
      <c r="H7" s="75"/>
      <c r="I7" s="75"/>
      <c r="J7" s="76">
        <v>94.2</v>
      </c>
      <c r="K7" s="76"/>
      <c r="L7" s="77"/>
      <c r="M7" s="80"/>
      <c r="N7" s="80"/>
      <c r="O7" s="80"/>
      <c r="P7" s="81" t="s">
        <v>150</v>
      </c>
      <c r="Q7" s="81"/>
      <c r="R7" s="82"/>
    </row>
    <row r="8" spans="1:18" ht="18" customHeight="1" x14ac:dyDescent="0.2">
      <c r="A8" s="56"/>
      <c r="B8" s="78" t="s">
        <v>151</v>
      </c>
      <c r="C8" s="83" t="s">
        <v>152</v>
      </c>
      <c r="D8" s="83"/>
      <c r="E8" s="84"/>
      <c r="F8" s="80"/>
      <c r="G8" s="85" t="s">
        <v>153</v>
      </c>
      <c r="H8" s="86"/>
      <c r="I8" s="86"/>
      <c r="J8" s="87">
        <v>0.20030000000000001</v>
      </c>
      <c r="K8" s="87"/>
      <c r="L8" s="88"/>
      <c r="M8" s="80"/>
      <c r="N8" s="80"/>
      <c r="O8" s="80"/>
      <c r="P8" s="71"/>
      <c r="Q8" s="89"/>
      <c r="R8" s="73"/>
    </row>
    <row r="9" spans="1:18" ht="17.25" customHeight="1" x14ac:dyDescent="0.2">
      <c r="A9" s="56"/>
      <c r="B9" s="90" t="s">
        <v>154</v>
      </c>
      <c r="C9" s="91" t="s">
        <v>155</v>
      </c>
      <c r="D9" s="91"/>
      <c r="E9" s="92"/>
      <c r="F9" s="92"/>
      <c r="G9" s="92"/>
      <c r="H9" s="92"/>
      <c r="I9" s="92"/>
      <c r="J9" s="92"/>
      <c r="K9" s="93"/>
      <c r="L9" s="91"/>
      <c r="M9" s="91"/>
      <c r="N9" s="94"/>
      <c r="O9" s="94"/>
      <c r="P9" s="94"/>
      <c r="Q9" s="95" t="s">
        <v>156</v>
      </c>
      <c r="R9" s="96"/>
    </row>
    <row r="10" spans="1:18" x14ac:dyDescent="0.2">
      <c r="A10" s="56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</row>
    <row r="11" spans="1:18" ht="25.5" customHeight="1" x14ac:dyDescent="0.2">
      <c r="A11" s="56"/>
      <c r="B11" s="97" t="s">
        <v>157</v>
      </c>
      <c r="C11" s="98" t="s">
        <v>158</v>
      </c>
      <c r="D11" s="99"/>
      <c r="E11" s="99"/>
      <c r="F11" s="99"/>
      <c r="G11" s="99"/>
      <c r="H11" s="99"/>
      <c r="I11" s="99"/>
      <c r="J11" s="100" t="s">
        <v>159</v>
      </c>
      <c r="K11" s="100"/>
      <c r="L11" s="100"/>
      <c r="M11" s="100"/>
      <c r="N11" s="100"/>
      <c r="O11" s="100"/>
      <c r="P11" s="100"/>
      <c r="Q11" s="100"/>
      <c r="R11" s="101"/>
    </row>
    <row r="12" spans="1:18" ht="12.75" customHeight="1" x14ac:dyDescent="0.2">
      <c r="A12" s="56"/>
      <c r="B12" s="102"/>
      <c r="C12" s="103">
        <v>1</v>
      </c>
      <c r="D12" s="103">
        <v>2</v>
      </c>
      <c r="E12" s="103">
        <v>3</v>
      </c>
      <c r="F12" s="103">
        <v>4</v>
      </c>
      <c r="G12" s="103">
        <v>5</v>
      </c>
      <c r="H12" s="103">
        <v>6</v>
      </c>
      <c r="I12" s="103">
        <v>7</v>
      </c>
      <c r="J12" s="103">
        <v>8</v>
      </c>
      <c r="K12" s="103">
        <v>9</v>
      </c>
      <c r="L12" s="103">
        <v>10</v>
      </c>
      <c r="M12" s="103">
        <v>11</v>
      </c>
      <c r="N12" s="103">
        <v>12</v>
      </c>
      <c r="O12" s="103">
        <v>13</v>
      </c>
      <c r="P12" s="104" t="s">
        <v>160</v>
      </c>
      <c r="Q12" s="105" t="s">
        <v>161</v>
      </c>
      <c r="R12" s="106"/>
    </row>
    <row r="13" spans="1:18" ht="12.75" customHeight="1" x14ac:dyDescent="0.2">
      <c r="A13" s="56"/>
      <c r="B13" s="107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9"/>
      <c r="Q13" s="106" t="s">
        <v>162</v>
      </c>
      <c r="R13" s="110" t="s">
        <v>163</v>
      </c>
    </row>
    <row r="14" spans="1:18" x14ac:dyDescent="0.2">
      <c r="A14" s="56"/>
      <c r="B14" s="111" t="s">
        <v>164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3">
        <v>9</v>
      </c>
      <c r="Q14" s="114">
        <v>90.5</v>
      </c>
      <c r="R14" s="115" t="s">
        <v>165</v>
      </c>
    </row>
    <row r="15" spans="1:18" x14ac:dyDescent="0.2">
      <c r="A15" s="56"/>
      <c r="B15" s="111" t="s">
        <v>166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3">
        <v>8</v>
      </c>
      <c r="Q15" s="114">
        <v>89.4</v>
      </c>
      <c r="R15" s="115" t="s">
        <v>165</v>
      </c>
    </row>
    <row r="16" spans="1:18" x14ac:dyDescent="0.2">
      <c r="A16" s="56"/>
      <c r="B16" s="111" t="s">
        <v>167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3">
        <v>11</v>
      </c>
      <c r="Q16" s="114">
        <v>89.8</v>
      </c>
      <c r="R16" s="115">
        <v>92</v>
      </c>
    </row>
    <row r="17" spans="1:18" x14ac:dyDescent="0.2">
      <c r="A17" s="56"/>
      <c r="B17" s="111" t="s">
        <v>168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3">
        <v>9</v>
      </c>
      <c r="Q17" s="114">
        <v>90.5</v>
      </c>
      <c r="R17" s="115" t="s">
        <v>165</v>
      </c>
    </row>
    <row r="18" spans="1:18" x14ac:dyDescent="0.2">
      <c r="A18" s="56"/>
      <c r="B18" s="111" t="s">
        <v>169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3">
        <v>11</v>
      </c>
      <c r="Q18" s="114">
        <v>92.3</v>
      </c>
      <c r="R18" s="115">
        <v>98.1</v>
      </c>
    </row>
    <row r="19" spans="1:18" x14ac:dyDescent="0.2">
      <c r="A19" s="56"/>
      <c r="B19" s="111" t="s">
        <v>170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3">
        <v>19</v>
      </c>
      <c r="Q19" s="114">
        <v>90.5</v>
      </c>
      <c r="R19" s="115">
        <v>95.4</v>
      </c>
    </row>
    <row r="20" spans="1:18" x14ac:dyDescent="0.2">
      <c r="A20" s="56"/>
      <c r="B20" s="111" t="s">
        <v>171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3">
        <v>46</v>
      </c>
      <c r="Q20" s="114">
        <v>90.5</v>
      </c>
      <c r="R20" s="115">
        <v>94.4</v>
      </c>
    </row>
    <row r="21" spans="1:18" x14ac:dyDescent="0.2">
      <c r="A21" s="56"/>
      <c r="B21" s="111" t="s">
        <v>172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3">
        <v>75</v>
      </c>
      <c r="Q21" s="114">
        <v>90.8</v>
      </c>
      <c r="R21" s="115">
        <v>94.4</v>
      </c>
    </row>
    <row r="22" spans="1:18" x14ac:dyDescent="0.2">
      <c r="A22" s="116"/>
      <c r="B22" s="111" t="s">
        <v>173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3">
        <v>82</v>
      </c>
      <c r="Q22" s="114">
        <v>90.3</v>
      </c>
      <c r="R22" s="115">
        <v>93.9</v>
      </c>
    </row>
    <row r="23" spans="1:18" x14ac:dyDescent="0.2">
      <c r="A23" s="56"/>
      <c r="B23" s="111" t="s">
        <v>174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3">
        <v>80</v>
      </c>
      <c r="Q23" s="114">
        <v>90</v>
      </c>
      <c r="R23" s="115">
        <v>93.9</v>
      </c>
    </row>
    <row r="24" spans="1:18" x14ac:dyDescent="0.2">
      <c r="A24" s="56"/>
      <c r="B24" s="111" t="s">
        <v>175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3">
        <v>72</v>
      </c>
      <c r="Q24" s="114">
        <v>89.8</v>
      </c>
      <c r="R24" s="115">
        <v>93.9</v>
      </c>
    </row>
    <row r="25" spans="1:18" x14ac:dyDescent="0.2">
      <c r="A25" s="116"/>
      <c r="B25" s="117" t="s">
        <v>176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8">
        <v>80</v>
      </c>
      <c r="Q25" s="119">
        <v>89.8</v>
      </c>
      <c r="R25" s="120">
        <v>93.9</v>
      </c>
    </row>
    <row r="26" spans="1:18" x14ac:dyDescent="0.2">
      <c r="A26" s="56"/>
      <c r="B26" s="121" t="s">
        <v>177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22">
        <v>78</v>
      </c>
      <c r="Q26" s="123">
        <v>89.5</v>
      </c>
      <c r="R26" s="124">
        <v>93.3</v>
      </c>
    </row>
    <row r="27" spans="1:18" x14ac:dyDescent="0.2">
      <c r="A27" s="56"/>
      <c r="B27" s="111" t="s">
        <v>178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3">
        <v>83</v>
      </c>
      <c r="Q27" s="114">
        <v>90</v>
      </c>
      <c r="R27" s="115">
        <v>93.7</v>
      </c>
    </row>
    <row r="28" spans="1:18" x14ac:dyDescent="0.2">
      <c r="A28" s="56"/>
      <c r="B28" s="111" t="s">
        <v>179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3">
        <v>94</v>
      </c>
      <c r="Q28" s="114">
        <v>90.4</v>
      </c>
      <c r="R28" s="115">
        <v>93.9</v>
      </c>
    </row>
    <row r="29" spans="1:18" x14ac:dyDescent="0.2">
      <c r="A29" s="116"/>
      <c r="B29" s="111" t="s">
        <v>180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3">
        <v>102</v>
      </c>
      <c r="Q29" s="114">
        <v>90</v>
      </c>
      <c r="R29" s="115">
        <v>93.9</v>
      </c>
    </row>
    <row r="30" spans="1:18" x14ac:dyDescent="0.2">
      <c r="A30" s="116"/>
      <c r="B30" s="111" t="s">
        <v>181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3">
        <v>102</v>
      </c>
      <c r="Q30" s="114">
        <v>90.5</v>
      </c>
      <c r="R30" s="115">
        <v>94.6</v>
      </c>
    </row>
    <row r="31" spans="1:18" x14ac:dyDescent="0.2">
      <c r="A31" s="56"/>
      <c r="B31" s="111" t="s">
        <v>182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3">
        <v>95</v>
      </c>
      <c r="Q31" s="114">
        <v>91.3</v>
      </c>
      <c r="R31" s="115">
        <v>95.2</v>
      </c>
    </row>
    <row r="32" spans="1:18" x14ac:dyDescent="0.2">
      <c r="A32" s="56"/>
      <c r="B32" s="111" t="s">
        <v>183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3">
        <v>70</v>
      </c>
      <c r="Q32" s="114">
        <v>91</v>
      </c>
      <c r="R32" s="115">
        <v>94.7</v>
      </c>
    </row>
    <row r="33" spans="1:18" x14ac:dyDescent="0.2">
      <c r="A33" s="56"/>
      <c r="B33" s="111" t="s">
        <v>184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3">
        <v>43</v>
      </c>
      <c r="Q33" s="114">
        <v>91.5</v>
      </c>
      <c r="R33" s="115">
        <v>95.2</v>
      </c>
    </row>
    <row r="34" spans="1:18" x14ac:dyDescent="0.2">
      <c r="A34" s="56"/>
      <c r="B34" s="111" t="s">
        <v>185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3">
        <v>38</v>
      </c>
      <c r="Q34" s="114">
        <v>90.3</v>
      </c>
      <c r="R34" s="115">
        <v>93.7</v>
      </c>
    </row>
    <row r="35" spans="1:18" x14ac:dyDescent="0.2">
      <c r="A35" s="56"/>
      <c r="B35" s="111" t="s">
        <v>186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3">
        <v>33</v>
      </c>
      <c r="Q35" s="114">
        <v>89.6</v>
      </c>
      <c r="R35" s="115">
        <v>93.5</v>
      </c>
    </row>
    <row r="36" spans="1:18" x14ac:dyDescent="0.2">
      <c r="A36" s="56"/>
      <c r="B36" s="111" t="s">
        <v>187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3">
        <v>21</v>
      </c>
      <c r="Q36" s="114">
        <v>89.5</v>
      </c>
      <c r="R36" s="115">
        <v>93.2</v>
      </c>
    </row>
    <row r="37" spans="1:18" ht="12.75" customHeight="1" x14ac:dyDescent="0.2">
      <c r="A37" s="56"/>
      <c r="B37" s="111" t="s">
        <v>188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3">
        <v>15</v>
      </c>
      <c r="Q37" s="114">
        <v>90.7</v>
      </c>
      <c r="R37" s="115">
        <v>94.1</v>
      </c>
    </row>
    <row r="38" spans="1:18" ht="12.75" customHeight="1" x14ac:dyDescent="0.2">
      <c r="A38" s="56"/>
      <c r="B38" s="125" t="s">
        <v>189</v>
      </c>
      <c r="C38" s="126">
        <v>954</v>
      </c>
      <c r="D38" s="126">
        <v>67</v>
      </c>
      <c r="E38" s="126">
        <v>55</v>
      </c>
      <c r="F38" s="126">
        <v>15</v>
      </c>
      <c r="G38" s="126">
        <v>2</v>
      </c>
      <c r="H38" s="126">
        <v>3</v>
      </c>
      <c r="I38" s="126">
        <v>5</v>
      </c>
      <c r="J38" s="126">
        <v>11</v>
      </c>
      <c r="K38" s="126">
        <v>58</v>
      </c>
      <c r="L38" s="126">
        <v>106</v>
      </c>
      <c r="M38" s="126">
        <v>0</v>
      </c>
      <c r="N38" s="126">
        <v>0</v>
      </c>
      <c r="O38" s="126">
        <v>0</v>
      </c>
      <c r="P38" s="113">
        <v>1276</v>
      </c>
      <c r="Q38" s="127">
        <v>90.3</v>
      </c>
      <c r="R38" s="128">
        <v>94.2</v>
      </c>
    </row>
    <row r="39" spans="1:18" x14ac:dyDescent="0.2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80"/>
      <c r="R39" s="80"/>
    </row>
    <row r="40" spans="1:18" ht="12.75" customHeight="1" x14ac:dyDescent="0.2">
      <c r="A40" s="56"/>
      <c r="B40" s="129" t="s">
        <v>190</v>
      </c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56"/>
      <c r="R40" s="56"/>
    </row>
    <row r="41" spans="1:18" s="130" customFormat="1" x14ac:dyDescent="0.2">
      <c r="A41" s="56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</row>
    <row r="42" spans="1:18" ht="12.75" customHeight="1" x14ac:dyDescent="0.2">
      <c r="A42" s="56"/>
      <c r="B42" s="111" t="s">
        <v>191</v>
      </c>
      <c r="C42" s="112">
        <v>115</v>
      </c>
      <c r="D42" s="112">
        <v>14</v>
      </c>
      <c r="E42" s="112">
        <v>12</v>
      </c>
      <c r="F42" s="112">
        <v>2</v>
      </c>
      <c r="G42" s="112">
        <v>0</v>
      </c>
      <c r="H42" s="112">
        <v>1</v>
      </c>
      <c r="I42" s="112">
        <v>1</v>
      </c>
      <c r="J42" s="112">
        <v>1</v>
      </c>
      <c r="K42" s="112">
        <v>5</v>
      </c>
      <c r="L42" s="112">
        <v>8</v>
      </c>
      <c r="M42" s="112">
        <v>0</v>
      </c>
      <c r="N42" s="112">
        <v>0</v>
      </c>
      <c r="O42" s="131">
        <v>0</v>
      </c>
      <c r="P42" s="113">
        <v>158</v>
      </c>
      <c r="Q42" s="114">
        <v>90.5</v>
      </c>
      <c r="R42" s="115">
        <v>94.2</v>
      </c>
    </row>
    <row r="43" spans="1:18" ht="12.75" customHeight="1" x14ac:dyDescent="0.2">
      <c r="A43" s="56"/>
      <c r="B43" s="111" t="s">
        <v>192</v>
      </c>
      <c r="C43" s="112">
        <v>167</v>
      </c>
      <c r="D43" s="112">
        <v>8</v>
      </c>
      <c r="E43" s="112">
        <v>3</v>
      </c>
      <c r="F43" s="112">
        <v>1</v>
      </c>
      <c r="G43" s="112">
        <v>1</v>
      </c>
      <c r="H43" s="112">
        <v>0</v>
      </c>
      <c r="I43" s="112">
        <v>0</v>
      </c>
      <c r="J43" s="112">
        <v>1</v>
      </c>
      <c r="K43" s="112">
        <v>6</v>
      </c>
      <c r="L43" s="112">
        <v>10</v>
      </c>
      <c r="M43" s="112">
        <v>0</v>
      </c>
      <c r="N43" s="112">
        <v>0</v>
      </c>
      <c r="O43" s="131">
        <v>0</v>
      </c>
      <c r="P43" s="113">
        <v>197</v>
      </c>
      <c r="Q43" s="114">
        <v>90.9</v>
      </c>
      <c r="R43" s="115">
        <v>94.8</v>
      </c>
    </row>
    <row r="44" spans="1:18" ht="12.75" customHeight="1" x14ac:dyDescent="0.2">
      <c r="A44" s="56"/>
      <c r="B44" s="111" t="s">
        <v>193</v>
      </c>
      <c r="C44" s="112">
        <v>672</v>
      </c>
      <c r="D44" s="112">
        <v>45</v>
      </c>
      <c r="E44" s="112">
        <v>40</v>
      </c>
      <c r="F44" s="112">
        <v>12</v>
      </c>
      <c r="G44" s="112">
        <v>1</v>
      </c>
      <c r="H44" s="112">
        <v>2</v>
      </c>
      <c r="I44" s="112">
        <v>4</v>
      </c>
      <c r="J44" s="112">
        <v>9</v>
      </c>
      <c r="K44" s="112">
        <v>48</v>
      </c>
      <c r="L44" s="112">
        <v>88</v>
      </c>
      <c r="M44" s="112">
        <v>0</v>
      </c>
      <c r="N44" s="112">
        <v>0</v>
      </c>
      <c r="O44" s="131">
        <v>0</v>
      </c>
      <c r="P44" s="113">
        <v>921</v>
      </c>
      <c r="Q44" s="114"/>
      <c r="R44" s="132"/>
    </row>
    <row r="45" spans="1:18" ht="12.75" hidden="1" customHeight="1" x14ac:dyDescent="0.2"/>
    <row r="58" ht="13.5" hidden="1" customHeight="1" x14ac:dyDescent="0.2"/>
    <row r="59" ht="12.75" hidden="1" customHeight="1" x14ac:dyDescent="0.2"/>
    <row r="91" ht="13.5" hidden="1" customHeight="1" x14ac:dyDescent="0.2"/>
    <row r="92" ht="12.75" hidden="1" customHeight="1" x14ac:dyDescent="0.2"/>
    <row r="307" ht="12.75" customHeight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x14ac:dyDescent="0.2"/>
  </sheetData>
  <conditionalFormatting sqref="J8:L8">
    <cfRule type="containsErrors" dxfId="107" priority="2">
      <formula>0</formula>
    </cfRule>
  </conditionalFormatting>
  <conditionalFormatting sqref="J5:L8 Q14:R43 C14:P44">
    <cfRule type="containsErrors" dxfId="106" priority="3">
      <formula>0</formula>
    </cfRule>
  </conditionalFormatting>
  <conditionalFormatting sqref="C279:R282">
    <cfRule type="containsErrors" dxfId="105" priority="4">
      <formula>0</formula>
    </cfRule>
  </conditionalFormatting>
  <conditionalFormatting sqref="Q294:R297 C294:P298">
    <cfRule type="containsErrors" dxfId="104" priority="5">
      <formula>0</formula>
    </cfRule>
  </conditionalFormatting>
  <conditionalFormatting sqref="C304:R307">
    <cfRule type="containsErrors" dxfId="103" priority="6">
      <formula>0</formula>
    </cfRule>
  </conditionalFormatting>
  <conditionalFormatting sqref="C289:R292">
    <cfRule type="containsErrors" dxfId="102" priority="7">
      <formula>0</formula>
    </cfRule>
  </conditionalFormatting>
  <conditionalFormatting sqref="C299:R302">
    <cfRule type="containsErrors" dxfId="101" priority="8">
      <formula>0</formula>
    </cfRule>
  </conditionalFormatting>
  <conditionalFormatting sqref="Q284:R287 C284:P288">
    <cfRule type="containsErrors" dxfId="100" priority="9">
      <formula>0</formula>
    </cfRule>
  </conditionalFormatting>
  <conditionalFormatting sqref="Q274:R277 C274:P278">
    <cfRule type="containsErrors" dxfId="99" priority="10">
      <formula>0</formula>
    </cfRule>
  </conditionalFormatting>
  <conditionalFormatting sqref="C268:R271">
    <cfRule type="containsErrors" dxfId="98" priority="11">
      <formula>0</formula>
    </cfRule>
  </conditionalFormatting>
  <conditionalFormatting sqref="C258:R261">
    <cfRule type="containsErrors" dxfId="97" priority="12">
      <formula>0</formula>
    </cfRule>
  </conditionalFormatting>
  <conditionalFormatting sqref="Q263:R266 C263:P267">
    <cfRule type="containsErrors" dxfId="96" priority="13">
      <formula>0</formula>
    </cfRule>
  </conditionalFormatting>
  <conditionalFormatting sqref="C238:R241">
    <cfRule type="containsErrors" dxfId="95" priority="14">
      <formula>0</formula>
    </cfRule>
  </conditionalFormatting>
  <conditionalFormatting sqref="Q253:R256 C253:P257">
    <cfRule type="containsErrors" dxfId="94" priority="15">
      <formula>0</formula>
    </cfRule>
  </conditionalFormatting>
  <conditionalFormatting sqref="C248:R251">
    <cfRule type="containsErrors" dxfId="93" priority="16">
      <formula>0</formula>
    </cfRule>
  </conditionalFormatting>
  <conditionalFormatting sqref="Q243:R246 C243:P247">
    <cfRule type="containsErrors" dxfId="92" priority="17">
      <formula>0</formula>
    </cfRule>
  </conditionalFormatting>
  <conditionalFormatting sqref="Q233:R236 C233:P237">
    <cfRule type="containsErrors" dxfId="91" priority="18">
      <formula>0</formula>
    </cfRule>
  </conditionalFormatting>
  <conditionalFormatting sqref="C228:R231">
    <cfRule type="containsErrors" dxfId="90" priority="19">
      <formula>0</formula>
    </cfRule>
  </conditionalFormatting>
  <conditionalFormatting sqref="Q223:R226 C223:P227">
    <cfRule type="containsErrors" dxfId="89" priority="20">
      <formula>0</formula>
    </cfRule>
  </conditionalFormatting>
  <conditionalFormatting sqref="C218:R221">
    <cfRule type="containsErrors" dxfId="88" priority="21">
      <formula>0</formula>
    </cfRule>
  </conditionalFormatting>
  <conditionalFormatting sqref="Q213:R216 C213:P217">
    <cfRule type="containsErrors" dxfId="87" priority="22">
      <formula>0</formula>
    </cfRule>
  </conditionalFormatting>
  <conditionalFormatting sqref="C208:R211">
    <cfRule type="containsErrors" dxfId="86" priority="23">
      <formula>0</formula>
    </cfRule>
  </conditionalFormatting>
  <conditionalFormatting sqref="Q202:R205 C202:P207">
    <cfRule type="containsErrors" dxfId="85" priority="24">
      <formula>0</formula>
    </cfRule>
  </conditionalFormatting>
  <conditionalFormatting sqref="Q192:R195 C192:P196">
    <cfRule type="containsErrors" dxfId="84" priority="25">
      <formula>0</formula>
    </cfRule>
  </conditionalFormatting>
  <conditionalFormatting sqref="C197:R200">
    <cfRule type="containsErrors" dxfId="83" priority="26">
      <formula>0</formula>
    </cfRule>
  </conditionalFormatting>
  <conditionalFormatting sqref="Q182:R185 C182:P186">
    <cfRule type="containsErrors" dxfId="82" priority="27">
      <formula>0</formula>
    </cfRule>
  </conditionalFormatting>
  <conditionalFormatting sqref="C187:R190">
    <cfRule type="containsErrors" dxfId="81" priority="28">
      <formula>0</formula>
    </cfRule>
  </conditionalFormatting>
  <conditionalFormatting sqref="Q172:R175 C172:P176">
    <cfRule type="containsErrors" dxfId="80" priority="29">
      <formula>0</formula>
    </cfRule>
  </conditionalFormatting>
  <conditionalFormatting sqref="C177:R180">
    <cfRule type="containsErrors" dxfId="79" priority="30">
      <formula>0</formula>
    </cfRule>
  </conditionalFormatting>
  <conditionalFormatting sqref="C157:R160">
    <cfRule type="containsErrors" dxfId="78" priority="31">
      <formula>0</formula>
    </cfRule>
  </conditionalFormatting>
  <conditionalFormatting sqref="C167:R170">
    <cfRule type="containsErrors" dxfId="77" priority="32">
      <formula>0</formula>
    </cfRule>
  </conditionalFormatting>
  <conditionalFormatting sqref="C147:R150">
    <cfRule type="containsErrors" dxfId="76" priority="33">
      <formula>0</formula>
    </cfRule>
  </conditionalFormatting>
  <conditionalFormatting sqref="Q162:R165 C162:P166">
    <cfRule type="containsErrors" dxfId="75" priority="34">
      <formula>0</formula>
    </cfRule>
  </conditionalFormatting>
  <conditionalFormatting sqref="C137:R140">
    <cfRule type="containsErrors" dxfId="74" priority="35">
      <formula>0</formula>
    </cfRule>
  </conditionalFormatting>
  <conditionalFormatting sqref="Q152:R155 C152:P156">
    <cfRule type="containsErrors" dxfId="73" priority="36">
      <formula>0</formula>
    </cfRule>
  </conditionalFormatting>
  <conditionalFormatting sqref="Q142:R145 C142:P146">
    <cfRule type="containsErrors" dxfId="72" priority="37">
      <formula>0</formula>
    </cfRule>
  </conditionalFormatting>
  <conditionalFormatting sqref="C117:R120">
    <cfRule type="containsErrors" dxfId="71" priority="38">
      <formula>0</formula>
    </cfRule>
  </conditionalFormatting>
  <conditionalFormatting sqref="Q132:R135 C132:P136">
    <cfRule type="containsErrors" dxfId="70" priority="39">
      <formula>0</formula>
    </cfRule>
  </conditionalFormatting>
  <conditionalFormatting sqref="Q112:R115 C112:P116">
    <cfRule type="containsErrors" dxfId="69" priority="40">
      <formula>0</formula>
    </cfRule>
  </conditionalFormatting>
  <conditionalFormatting sqref="C127:R130">
    <cfRule type="containsErrors" dxfId="68" priority="41">
      <formula>0</formula>
    </cfRule>
  </conditionalFormatting>
  <conditionalFormatting sqref="C107:R110">
    <cfRule type="containsErrors" dxfId="67" priority="42">
      <formula>0</formula>
    </cfRule>
  </conditionalFormatting>
  <conditionalFormatting sqref="Q122:R125 C122:P126">
    <cfRule type="containsErrors" dxfId="66" priority="43">
      <formula>0</formula>
    </cfRule>
  </conditionalFormatting>
  <conditionalFormatting sqref="Q102:R105 C102:P106">
    <cfRule type="containsErrors" dxfId="65" priority="44">
      <formula>0</formula>
    </cfRule>
  </conditionalFormatting>
  <conditionalFormatting sqref="C97:R100">
    <cfRule type="containsErrors" dxfId="64" priority="45">
      <formula>0</formula>
    </cfRule>
  </conditionalFormatting>
  <conditionalFormatting sqref="Q92:R95 C92:P96">
    <cfRule type="containsErrors" dxfId="63" priority="46">
      <formula>0</formula>
    </cfRule>
  </conditionalFormatting>
  <conditionalFormatting sqref="C77:R80">
    <cfRule type="containsErrors" dxfId="62" priority="47">
      <formula>0</formula>
    </cfRule>
  </conditionalFormatting>
  <conditionalFormatting sqref="Q82:R85 C82:P86">
    <cfRule type="containsErrors" dxfId="61" priority="48">
      <formula>0</formula>
    </cfRule>
  </conditionalFormatting>
  <conditionalFormatting sqref="C67:R70">
    <cfRule type="containsErrors" dxfId="60" priority="49">
      <formula>0</formula>
    </cfRule>
  </conditionalFormatting>
  <conditionalFormatting sqref="Q72:R75 C72:P76">
    <cfRule type="containsErrors" dxfId="59" priority="50">
      <formula>0</formula>
    </cfRule>
  </conditionalFormatting>
  <conditionalFormatting sqref="C87:R90">
    <cfRule type="containsErrors" dxfId="58" priority="51">
      <formula>0</formula>
    </cfRule>
  </conditionalFormatting>
  <conditionalFormatting sqref="C57:R60">
    <cfRule type="containsErrors" dxfId="57" priority="52">
      <formula>0</formula>
    </cfRule>
  </conditionalFormatting>
  <conditionalFormatting sqref="Q62:R65 C62:P66">
    <cfRule type="containsErrors" dxfId="56" priority="53">
      <formula>0</formula>
    </cfRule>
  </conditionalFormatting>
  <conditionalFormatting sqref="C47:R50">
    <cfRule type="containsErrors" dxfId="55" priority="54">
      <formula>0</formula>
    </cfRule>
  </conditionalFormatting>
  <conditionalFormatting sqref="Q52:R55 C52:P56">
    <cfRule type="containsErrors" dxfId="54" priority="55">
      <formula>0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330"/>
  <sheetViews>
    <sheetView zoomScaleNormal="100" workbookViewId="0"/>
  </sheetViews>
  <sheetFormatPr defaultRowHeight="12.75" zeroHeight="1" x14ac:dyDescent="0.2"/>
  <cols>
    <col min="1" max="1" width="2.7109375" style="54" customWidth="1"/>
    <col min="2" max="2" width="12.7109375" style="55" customWidth="1"/>
    <col min="3" max="17" width="8.7109375" style="55" customWidth="1"/>
    <col min="18" max="18" width="8.85546875" style="55" customWidth="1"/>
    <col min="19" max="98" width="9.140625" style="54" customWidth="1"/>
    <col min="99" max="99" width="2.7109375" style="54" customWidth="1"/>
    <col min="100" max="100" width="12.7109375" style="54" customWidth="1"/>
    <col min="101" max="116" width="6.7109375" style="54" customWidth="1"/>
    <col min="117" max="117" width="2.7109375" style="54" customWidth="1"/>
    <col min="118" max="354" width="9.140625" style="54" hidden="1" customWidth="1"/>
    <col min="355" max="355" width="2.7109375" style="54" customWidth="1"/>
    <col min="356" max="356" width="12.7109375" style="54" customWidth="1"/>
    <col min="357" max="372" width="6.7109375" style="54" customWidth="1"/>
    <col min="373" max="373" width="2.7109375" style="54" customWidth="1"/>
    <col min="374" max="610" width="9.140625" style="54" hidden="1" customWidth="1"/>
    <col min="611" max="611" width="2.7109375" style="54" customWidth="1"/>
    <col min="612" max="612" width="12.7109375" style="54" customWidth="1"/>
    <col min="613" max="628" width="6.7109375" style="54" customWidth="1"/>
    <col min="629" max="629" width="2.7109375" style="54" customWidth="1"/>
    <col min="630" max="866" width="9.140625" style="54" hidden="1" customWidth="1"/>
    <col min="867" max="867" width="2.7109375" style="54" customWidth="1"/>
    <col min="868" max="868" width="12.7109375" style="54" customWidth="1"/>
    <col min="869" max="884" width="6.7109375" style="54" customWidth="1"/>
    <col min="885" max="885" width="2.7109375" style="54" customWidth="1"/>
    <col min="886" max="1025" width="9.140625" style="54" hidden="1" customWidth="1"/>
  </cols>
  <sheetData>
    <row r="1" spans="1:18" x14ac:dyDescent="0.2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x14ac:dyDescent="0.2">
      <c r="A2" s="56"/>
      <c r="B2" s="57" t="s">
        <v>139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</row>
    <row r="3" spans="1:18" x14ac:dyDescent="0.2">
      <c r="A3" s="56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</row>
    <row r="4" spans="1:18" ht="15.75" x14ac:dyDescent="0.25">
      <c r="A4" s="56"/>
      <c r="B4" s="59" t="s">
        <v>140</v>
      </c>
      <c r="C4" s="60" t="s">
        <v>141</v>
      </c>
      <c r="D4" s="61"/>
      <c r="E4" s="61"/>
      <c r="F4" s="61"/>
      <c r="G4" s="61"/>
      <c r="H4" s="61"/>
      <c r="I4" s="61"/>
      <c r="J4" s="61"/>
      <c r="K4" s="61"/>
      <c r="L4" s="61"/>
      <c r="M4" s="62" t="s">
        <v>142</v>
      </c>
      <c r="N4" s="62"/>
      <c r="O4" s="62"/>
      <c r="P4" s="62" t="s">
        <v>143</v>
      </c>
      <c r="Q4" s="62"/>
      <c r="R4" s="63"/>
    </row>
    <row r="5" spans="1:18" ht="12.75" customHeight="1" x14ac:dyDescent="0.2">
      <c r="A5" s="56"/>
      <c r="B5" s="64" t="s">
        <v>144</v>
      </c>
      <c r="C5" s="65" t="s">
        <v>145</v>
      </c>
      <c r="D5" s="65"/>
      <c r="E5" s="65"/>
      <c r="F5" s="66"/>
      <c r="G5" s="67" t="s">
        <v>146</v>
      </c>
      <c r="H5" s="68"/>
      <c r="I5" s="68"/>
      <c r="J5" s="69">
        <v>1265</v>
      </c>
      <c r="K5" s="69"/>
      <c r="L5" s="70"/>
      <c r="M5" s="71"/>
      <c r="N5" s="72"/>
      <c r="O5" s="72"/>
      <c r="P5" s="71"/>
      <c r="Q5" s="72"/>
      <c r="R5" s="73"/>
    </row>
    <row r="6" spans="1:18" ht="19.5" customHeight="1" x14ac:dyDescent="0.2">
      <c r="A6" s="56"/>
      <c r="B6" s="64"/>
      <c r="C6" s="65"/>
      <c r="D6" s="65"/>
      <c r="E6" s="65"/>
      <c r="F6" s="66"/>
      <c r="G6" s="74" t="s">
        <v>147</v>
      </c>
      <c r="H6" s="75"/>
      <c r="I6" s="75"/>
      <c r="J6" s="76">
        <v>89.9</v>
      </c>
      <c r="K6" s="76"/>
      <c r="L6" s="77"/>
      <c r="M6" s="71"/>
      <c r="N6" s="72"/>
      <c r="O6" s="72"/>
      <c r="P6" s="71"/>
      <c r="Q6" s="72"/>
      <c r="R6" s="73"/>
    </row>
    <row r="7" spans="1:18" ht="15.75" x14ac:dyDescent="0.25">
      <c r="A7" s="56"/>
      <c r="B7" s="78" t="s">
        <v>148</v>
      </c>
      <c r="C7" s="79">
        <v>95435</v>
      </c>
      <c r="D7" s="80"/>
      <c r="E7" s="80"/>
      <c r="F7" s="80"/>
      <c r="G7" s="74" t="s">
        <v>149</v>
      </c>
      <c r="H7" s="75"/>
      <c r="I7" s="75"/>
      <c r="J7" s="76">
        <v>94</v>
      </c>
      <c r="K7" s="76"/>
      <c r="L7" s="77"/>
      <c r="M7" s="80"/>
      <c r="N7" s="80"/>
      <c r="O7" s="80"/>
      <c r="P7" s="81" t="s">
        <v>150</v>
      </c>
      <c r="Q7" s="81"/>
      <c r="R7" s="82"/>
    </row>
    <row r="8" spans="1:18" ht="18" customHeight="1" x14ac:dyDescent="0.2">
      <c r="A8" s="56"/>
      <c r="B8" s="78" t="s">
        <v>151</v>
      </c>
      <c r="C8" s="83" t="s">
        <v>152</v>
      </c>
      <c r="D8" s="83"/>
      <c r="E8" s="84"/>
      <c r="F8" s="80"/>
      <c r="G8" s="85" t="s">
        <v>153</v>
      </c>
      <c r="H8" s="86"/>
      <c r="I8" s="86"/>
      <c r="J8" s="87">
        <v>0.2147</v>
      </c>
      <c r="K8" s="87"/>
      <c r="L8" s="88"/>
      <c r="M8" s="80"/>
      <c r="N8" s="80"/>
      <c r="O8" s="80"/>
      <c r="P8" s="71"/>
      <c r="Q8" s="89" t="s">
        <v>194</v>
      </c>
      <c r="R8" s="73"/>
    </row>
    <row r="9" spans="1:18" ht="17.25" customHeight="1" x14ac:dyDescent="0.2">
      <c r="A9" s="56"/>
      <c r="B9" s="90" t="s">
        <v>154</v>
      </c>
      <c r="C9" s="91" t="s">
        <v>155</v>
      </c>
      <c r="D9" s="91"/>
      <c r="E9" s="92"/>
      <c r="F9" s="92"/>
      <c r="G9" s="92"/>
      <c r="H9" s="92"/>
      <c r="I9" s="92"/>
      <c r="J9" s="92"/>
      <c r="K9" s="93"/>
      <c r="L9" s="91"/>
      <c r="M9" s="91"/>
      <c r="N9" s="94"/>
      <c r="O9" s="94"/>
      <c r="P9" s="94"/>
      <c r="Q9" s="95"/>
      <c r="R9" s="96"/>
    </row>
    <row r="10" spans="1:18" x14ac:dyDescent="0.2">
      <c r="A10" s="56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</row>
    <row r="11" spans="1:18" ht="25.5" customHeight="1" x14ac:dyDescent="0.2">
      <c r="A11" s="56"/>
      <c r="B11" s="97" t="s">
        <v>157</v>
      </c>
      <c r="C11" s="98" t="s">
        <v>158</v>
      </c>
      <c r="D11" s="99"/>
      <c r="E11" s="99"/>
      <c r="F11" s="99"/>
      <c r="G11" s="99"/>
      <c r="H11" s="99"/>
      <c r="I11" s="99"/>
      <c r="J11" s="100" t="s">
        <v>159</v>
      </c>
      <c r="K11" s="100"/>
      <c r="L11" s="100"/>
      <c r="M11" s="100"/>
      <c r="N11" s="100"/>
      <c r="O11" s="100"/>
      <c r="P11" s="100"/>
      <c r="Q11" s="100"/>
      <c r="R11" s="101"/>
    </row>
    <row r="12" spans="1:18" ht="12.75" customHeight="1" x14ac:dyDescent="0.2">
      <c r="A12" s="56"/>
      <c r="B12" s="102"/>
      <c r="C12" s="103">
        <v>1</v>
      </c>
      <c r="D12" s="103">
        <v>2</v>
      </c>
      <c r="E12" s="103">
        <v>3</v>
      </c>
      <c r="F12" s="103">
        <v>4</v>
      </c>
      <c r="G12" s="103">
        <v>5</v>
      </c>
      <c r="H12" s="103">
        <v>6</v>
      </c>
      <c r="I12" s="103">
        <v>7</v>
      </c>
      <c r="J12" s="103">
        <v>8</v>
      </c>
      <c r="K12" s="103">
        <v>9</v>
      </c>
      <c r="L12" s="103">
        <v>10</v>
      </c>
      <c r="M12" s="103">
        <v>11</v>
      </c>
      <c r="N12" s="103">
        <v>12</v>
      </c>
      <c r="O12" s="103">
        <v>13</v>
      </c>
      <c r="P12" s="104" t="s">
        <v>160</v>
      </c>
      <c r="Q12" s="105" t="s">
        <v>161</v>
      </c>
      <c r="R12" s="106"/>
    </row>
    <row r="13" spans="1:18" ht="12.75" customHeight="1" x14ac:dyDescent="0.2">
      <c r="A13" s="56"/>
      <c r="B13" s="107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9"/>
      <c r="Q13" s="106" t="s">
        <v>162</v>
      </c>
      <c r="R13" s="110" t="s">
        <v>163</v>
      </c>
    </row>
    <row r="14" spans="1:18" x14ac:dyDescent="0.2">
      <c r="A14" s="56"/>
      <c r="B14" s="111" t="s">
        <v>164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3">
        <v>8</v>
      </c>
      <c r="Q14" s="114">
        <v>90.4</v>
      </c>
      <c r="R14" s="115" t="s">
        <v>165</v>
      </c>
    </row>
    <row r="15" spans="1:18" x14ac:dyDescent="0.2">
      <c r="A15" s="56"/>
      <c r="B15" s="111" t="s">
        <v>166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3">
        <v>6</v>
      </c>
      <c r="Q15" s="114">
        <v>89.8</v>
      </c>
      <c r="R15" s="115" t="s">
        <v>165</v>
      </c>
    </row>
    <row r="16" spans="1:18" x14ac:dyDescent="0.2">
      <c r="A16" s="56"/>
      <c r="B16" s="111" t="s">
        <v>167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3">
        <v>5</v>
      </c>
      <c r="Q16" s="114">
        <v>90.2</v>
      </c>
      <c r="R16" s="115" t="s">
        <v>165</v>
      </c>
    </row>
    <row r="17" spans="1:18" x14ac:dyDescent="0.2">
      <c r="A17" s="56"/>
      <c r="B17" s="111" t="s">
        <v>168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3">
        <v>6</v>
      </c>
      <c r="Q17" s="114">
        <v>90.8</v>
      </c>
      <c r="R17" s="115" t="s">
        <v>165</v>
      </c>
    </row>
    <row r="18" spans="1:18" x14ac:dyDescent="0.2">
      <c r="A18" s="56"/>
      <c r="B18" s="111" t="s">
        <v>169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3">
        <v>10</v>
      </c>
      <c r="Q18" s="114">
        <v>91.1</v>
      </c>
      <c r="R18" s="115" t="s">
        <v>165</v>
      </c>
    </row>
    <row r="19" spans="1:18" x14ac:dyDescent="0.2">
      <c r="A19" s="56"/>
      <c r="B19" s="111" t="s">
        <v>170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3">
        <v>20</v>
      </c>
      <c r="Q19" s="114">
        <v>90.2</v>
      </c>
      <c r="R19" s="115">
        <v>95.2</v>
      </c>
    </row>
    <row r="20" spans="1:18" x14ac:dyDescent="0.2">
      <c r="A20" s="56"/>
      <c r="B20" s="111" t="s">
        <v>171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3">
        <v>30</v>
      </c>
      <c r="Q20" s="114">
        <v>90.2</v>
      </c>
      <c r="R20" s="115">
        <v>94.5</v>
      </c>
    </row>
    <row r="21" spans="1:18" x14ac:dyDescent="0.2">
      <c r="A21" s="56"/>
      <c r="B21" s="111" t="s">
        <v>172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3">
        <v>62</v>
      </c>
      <c r="Q21" s="114">
        <v>90.2</v>
      </c>
      <c r="R21" s="115">
        <v>93.9</v>
      </c>
    </row>
    <row r="22" spans="1:18" x14ac:dyDescent="0.2">
      <c r="A22" s="116"/>
      <c r="B22" s="111" t="s">
        <v>173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3">
        <v>84</v>
      </c>
      <c r="Q22" s="114">
        <v>90.1</v>
      </c>
      <c r="R22" s="115">
        <v>94.2</v>
      </c>
    </row>
    <row r="23" spans="1:18" x14ac:dyDescent="0.2">
      <c r="A23" s="56"/>
      <c r="B23" s="111" t="s">
        <v>174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3">
        <v>99</v>
      </c>
      <c r="Q23" s="114">
        <v>88.9</v>
      </c>
      <c r="R23" s="115">
        <v>93.1</v>
      </c>
    </row>
    <row r="24" spans="1:18" x14ac:dyDescent="0.2">
      <c r="A24" s="56"/>
      <c r="B24" s="111" t="s">
        <v>175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3">
        <v>97</v>
      </c>
      <c r="Q24" s="114">
        <v>89.8</v>
      </c>
      <c r="R24" s="115">
        <v>94</v>
      </c>
    </row>
    <row r="25" spans="1:18" x14ac:dyDescent="0.2">
      <c r="A25" s="116"/>
      <c r="B25" s="117" t="s">
        <v>176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8">
        <v>98</v>
      </c>
      <c r="Q25" s="119">
        <v>89.6</v>
      </c>
      <c r="R25" s="120">
        <v>94</v>
      </c>
    </row>
    <row r="26" spans="1:18" x14ac:dyDescent="0.2">
      <c r="A26" s="56"/>
      <c r="B26" s="121" t="s">
        <v>177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22">
        <v>91</v>
      </c>
      <c r="Q26" s="123">
        <v>89.7</v>
      </c>
      <c r="R26" s="124">
        <v>94.1</v>
      </c>
    </row>
    <row r="27" spans="1:18" x14ac:dyDescent="0.2">
      <c r="A27" s="56"/>
      <c r="B27" s="111" t="s">
        <v>178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3">
        <v>83</v>
      </c>
      <c r="Q27" s="114">
        <v>89.5</v>
      </c>
      <c r="R27" s="115">
        <v>94.3</v>
      </c>
    </row>
    <row r="28" spans="1:18" x14ac:dyDescent="0.2">
      <c r="A28" s="56"/>
      <c r="B28" s="111" t="s">
        <v>179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3">
        <v>90</v>
      </c>
      <c r="Q28" s="114">
        <v>90.1</v>
      </c>
      <c r="R28" s="115">
        <v>94</v>
      </c>
    </row>
    <row r="29" spans="1:18" x14ac:dyDescent="0.2">
      <c r="A29" s="116"/>
      <c r="B29" s="111" t="s">
        <v>180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3">
        <v>103</v>
      </c>
      <c r="Q29" s="114">
        <v>89.6</v>
      </c>
      <c r="R29" s="115">
        <v>93.8</v>
      </c>
    </row>
    <row r="30" spans="1:18" x14ac:dyDescent="0.2">
      <c r="A30" s="116"/>
      <c r="B30" s="111" t="s">
        <v>181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3">
        <v>102</v>
      </c>
      <c r="Q30" s="114">
        <v>89.9</v>
      </c>
      <c r="R30" s="115">
        <v>93.9</v>
      </c>
    </row>
    <row r="31" spans="1:18" x14ac:dyDescent="0.2">
      <c r="A31" s="56"/>
      <c r="B31" s="111" t="s">
        <v>182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3">
        <v>85</v>
      </c>
      <c r="Q31" s="114">
        <v>90.1</v>
      </c>
      <c r="R31" s="115">
        <v>94.3</v>
      </c>
    </row>
    <row r="32" spans="1:18" x14ac:dyDescent="0.2">
      <c r="A32" s="56"/>
      <c r="B32" s="111" t="s">
        <v>183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3">
        <v>61</v>
      </c>
      <c r="Q32" s="114">
        <v>90.1</v>
      </c>
      <c r="R32" s="115">
        <v>94.6</v>
      </c>
    </row>
    <row r="33" spans="1:18" x14ac:dyDescent="0.2">
      <c r="A33" s="56"/>
      <c r="B33" s="111" t="s">
        <v>184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3">
        <v>42</v>
      </c>
      <c r="Q33" s="114">
        <v>90.7</v>
      </c>
      <c r="R33" s="115">
        <v>94.3</v>
      </c>
    </row>
    <row r="34" spans="1:18" x14ac:dyDescent="0.2">
      <c r="A34" s="56"/>
      <c r="B34" s="111" t="s">
        <v>185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3">
        <v>29</v>
      </c>
      <c r="Q34" s="114">
        <v>89.1</v>
      </c>
      <c r="R34" s="115">
        <v>92.9</v>
      </c>
    </row>
    <row r="35" spans="1:18" x14ac:dyDescent="0.2">
      <c r="A35" s="56"/>
      <c r="B35" s="111" t="s">
        <v>186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3">
        <v>25</v>
      </c>
      <c r="Q35" s="114">
        <v>90.2</v>
      </c>
      <c r="R35" s="115">
        <v>93.8</v>
      </c>
    </row>
    <row r="36" spans="1:18" x14ac:dyDescent="0.2">
      <c r="A36" s="56"/>
      <c r="B36" s="111" t="s">
        <v>187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3">
        <v>18</v>
      </c>
      <c r="Q36" s="114">
        <v>90.7</v>
      </c>
      <c r="R36" s="115">
        <v>93.9</v>
      </c>
    </row>
    <row r="37" spans="1:18" ht="12.75" customHeight="1" x14ac:dyDescent="0.2">
      <c r="A37" s="56"/>
      <c r="B37" s="111" t="s">
        <v>188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3">
        <v>12</v>
      </c>
      <c r="Q37" s="114">
        <v>91.2</v>
      </c>
      <c r="R37" s="115">
        <v>95.5</v>
      </c>
    </row>
    <row r="38" spans="1:18" ht="12.75" customHeight="1" x14ac:dyDescent="0.2">
      <c r="A38" s="56"/>
      <c r="B38" s="125" t="s">
        <v>189</v>
      </c>
      <c r="C38" s="126">
        <v>925</v>
      </c>
      <c r="D38" s="126">
        <v>69</v>
      </c>
      <c r="E38" s="126">
        <v>53</v>
      </c>
      <c r="F38" s="126">
        <v>15</v>
      </c>
      <c r="G38" s="126">
        <v>2</v>
      </c>
      <c r="H38" s="126">
        <v>3</v>
      </c>
      <c r="I38" s="126">
        <v>4</v>
      </c>
      <c r="J38" s="126">
        <v>13</v>
      </c>
      <c r="K38" s="126">
        <v>63</v>
      </c>
      <c r="L38" s="126">
        <v>118</v>
      </c>
      <c r="M38" s="126">
        <v>1</v>
      </c>
      <c r="N38" s="126">
        <v>0</v>
      </c>
      <c r="O38" s="126">
        <v>0</v>
      </c>
      <c r="P38" s="113">
        <v>1265</v>
      </c>
      <c r="Q38" s="127">
        <v>89.9</v>
      </c>
      <c r="R38" s="128">
        <v>94</v>
      </c>
    </row>
    <row r="39" spans="1:18" x14ac:dyDescent="0.2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80"/>
      <c r="R39" s="80"/>
    </row>
    <row r="40" spans="1:18" ht="12.75" customHeight="1" x14ac:dyDescent="0.2">
      <c r="A40" s="56"/>
      <c r="B40" s="129" t="s">
        <v>190</v>
      </c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56"/>
      <c r="R40" s="56"/>
    </row>
    <row r="41" spans="1:18" s="130" customFormat="1" x14ac:dyDescent="0.2">
      <c r="A41" s="56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</row>
    <row r="42" spans="1:18" ht="12.75" customHeight="1" x14ac:dyDescent="0.2">
      <c r="A42" s="56"/>
      <c r="B42" s="111" t="s">
        <v>191</v>
      </c>
      <c r="C42" s="112">
        <v>109</v>
      </c>
      <c r="D42" s="112">
        <v>8</v>
      </c>
      <c r="E42" s="112">
        <v>9</v>
      </c>
      <c r="F42" s="112">
        <v>3</v>
      </c>
      <c r="G42" s="112">
        <v>0</v>
      </c>
      <c r="H42" s="112">
        <v>1</v>
      </c>
      <c r="I42" s="112">
        <v>0</v>
      </c>
      <c r="J42" s="112">
        <v>2</v>
      </c>
      <c r="K42" s="112">
        <v>6</v>
      </c>
      <c r="L42" s="112">
        <v>9</v>
      </c>
      <c r="M42" s="112">
        <v>0</v>
      </c>
      <c r="N42" s="112">
        <v>0</v>
      </c>
      <c r="O42" s="131">
        <v>0</v>
      </c>
      <c r="P42" s="113">
        <v>146</v>
      </c>
      <c r="Q42" s="114">
        <v>90.1</v>
      </c>
      <c r="R42" s="115">
        <v>94.1</v>
      </c>
    </row>
    <row r="43" spans="1:18" ht="12.75" customHeight="1" x14ac:dyDescent="0.2">
      <c r="A43" s="56"/>
      <c r="B43" s="111" t="s">
        <v>192</v>
      </c>
      <c r="C43" s="112">
        <v>144</v>
      </c>
      <c r="D43" s="112">
        <v>9</v>
      </c>
      <c r="E43" s="112">
        <v>5</v>
      </c>
      <c r="F43" s="112">
        <v>1</v>
      </c>
      <c r="G43" s="112">
        <v>0</v>
      </c>
      <c r="H43" s="112">
        <v>1</v>
      </c>
      <c r="I43" s="112">
        <v>1</v>
      </c>
      <c r="J43" s="112">
        <v>2</v>
      </c>
      <c r="K43" s="112">
        <v>9</v>
      </c>
      <c r="L43" s="112">
        <v>16</v>
      </c>
      <c r="M43" s="112">
        <v>0</v>
      </c>
      <c r="N43" s="112">
        <v>0</v>
      </c>
      <c r="O43" s="131">
        <v>0</v>
      </c>
      <c r="P43" s="113">
        <v>187</v>
      </c>
      <c r="Q43" s="114">
        <v>90</v>
      </c>
      <c r="R43" s="115">
        <v>94.2</v>
      </c>
    </row>
    <row r="44" spans="1:18" ht="12.75" customHeight="1" x14ac:dyDescent="0.2">
      <c r="A44" s="56"/>
      <c r="B44" s="111" t="s">
        <v>193</v>
      </c>
      <c r="C44" s="112">
        <v>671</v>
      </c>
      <c r="D44" s="112">
        <v>52</v>
      </c>
      <c r="E44" s="112">
        <v>39</v>
      </c>
      <c r="F44" s="112">
        <v>11</v>
      </c>
      <c r="G44" s="112">
        <v>2</v>
      </c>
      <c r="H44" s="112">
        <v>2</v>
      </c>
      <c r="I44" s="112">
        <v>3</v>
      </c>
      <c r="J44" s="112">
        <v>10</v>
      </c>
      <c r="K44" s="112">
        <v>48</v>
      </c>
      <c r="L44" s="112">
        <v>93</v>
      </c>
      <c r="M44" s="112">
        <v>0</v>
      </c>
      <c r="N44" s="112">
        <v>0</v>
      </c>
      <c r="O44" s="131">
        <v>0</v>
      </c>
      <c r="P44" s="113">
        <v>933</v>
      </c>
      <c r="Q44" s="114"/>
      <c r="R44" s="132"/>
    </row>
    <row r="58" ht="13.5" hidden="1" customHeight="1" x14ac:dyDescent="0.2"/>
    <row r="91" ht="13.5" hidden="1" customHeight="1" x14ac:dyDescent="0.2"/>
    <row r="307" ht="12.75" customHeight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x14ac:dyDescent="0.2"/>
  </sheetData>
  <conditionalFormatting sqref="J8:L8">
    <cfRule type="containsErrors" dxfId="53" priority="2">
      <formula>0</formula>
    </cfRule>
  </conditionalFormatting>
  <conditionalFormatting sqref="J5:L8 Q14:R43 C14:P44">
    <cfRule type="containsErrors" dxfId="52" priority="3">
      <formula>0</formula>
    </cfRule>
  </conditionalFormatting>
  <conditionalFormatting sqref="C279:R282">
    <cfRule type="containsErrors" dxfId="51" priority="4">
      <formula>0</formula>
    </cfRule>
  </conditionalFormatting>
  <conditionalFormatting sqref="Q294:R297 C294:P298">
    <cfRule type="containsErrors" dxfId="50" priority="5">
      <formula>0</formula>
    </cfRule>
  </conditionalFormatting>
  <conditionalFormatting sqref="C304:R307">
    <cfRule type="containsErrors" dxfId="49" priority="6">
      <formula>0</formula>
    </cfRule>
  </conditionalFormatting>
  <conditionalFormatting sqref="C289:R292">
    <cfRule type="containsErrors" dxfId="48" priority="7">
      <formula>0</formula>
    </cfRule>
  </conditionalFormatting>
  <conditionalFormatting sqref="C299:R302">
    <cfRule type="containsErrors" dxfId="47" priority="8">
      <formula>0</formula>
    </cfRule>
  </conditionalFormatting>
  <conditionalFormatting sqref="Q284:R287 C284:P288">
    <cfRule type="containsErrors" dxfId="46" priority="9">
      <formula>0</formula>
    </cfRule>
  </conditionalFormatting>
  <conditionalFormatting sqref="Q274:R277 C274:P278">
    <cfRule type="containsErrors" dxfId="45" priority="10">
      <formula>0</formula>
    </cfRule>
  </conditionalFormatting>
  <conditionalFormatting sqref="C268:R271">
    <cfRule type="containsErrors" dxfId="44" priority="11">
      <formula>0</formula>
    </cfRule>
  </conditionalFormatting>
  <conditionalFormatting sqref="C258:R261">
    <cfRule type="containsErrors" dxfId="43" priority="12">
      <formula>0</formula>
    </cfRule>
  </conditionalFormatting>
  <conditionalFormatting sqref="Q263:R266 C263:P267">
    <cfRule type="containsErrors" dxfId="42" priority="13">
      <formula>0</formula>
    </cfRule>
  </conditionalFormatting>
  <conditionalFormatting sqref="C238:R241">
    <cfRule type="containsErrors" dxfId="41" priority="14">
      <formula>0</formula>
    </cfRule>
  </conditionalFormatting>
  <conditionalFormatting sqref="Q253:R256 C253:P257">
    <cfRule type="containsErrors" dxfId="40" priority="15">
      <formula>0</formula>
    </cfRule>
  </conditionalFormatting>
  <conditionalFormatting sqref="C248:R251">
    <cfRule type="containsErrors" dxfId="39" priority="16">
      <formula>0</formula>
    </cfRule>
  </conditionalFormatting>
  <conditionalFormatting sqref="Q243:R246 C243:P247">
    <cfRule type="containsErrors" dxfId="38" priority="17">
      <formula>0</formula>
    </cfRule>
  </conditionalFormatting>
  <conditionalFormatting sqref="Q233:R236 C233:P237">
    <cfRule type="containsErrors" dxfId="37" priority="18">
      <formula>0</formula>
    </cfRule>
  </conditionalFormatting>
  <conditionalFormatting sqref="C228:R231">
    <cfRule type="containsErrors" dxfId="36" priority="19">
      <formula>0</formula>
    </cfRule>
  </conditionalFormatting>
  <conditionalFormatting sqref="Q223:R226 C223:P227">
    <cfRule type="containsErrors" dxfId="35" priority="20">
      <formula>0</formula>
    </cfRule>
  </conditionalFormatting>
  <conditionalFormatting sqref="C218:R221">
    <cfRule type="containsErrors" dxfId="34" priority="21">
      <formula>0</formula>
    </cfRule>
  </conditionalFormatting>
  <conditionalFormatting sqref="Q213:R216 C213:P217">
    <cfRule type="containsErrors" dxfId="33" priority="22">
      <formula>0</formula>
    </cfRule>
  </conditionalFormatting>
  <conditionalFormatting sqref="C208:R211">
    <cfRule type="containsErrors" dxfId="32" priority="23">
      <formula>0</formula>
    </cfRule>
  </conditionalFormatting>
  <conditionalFormatting sqref="Q202:R205 C202:P207">
    <cfRule type="containsErrors" dxfId="31" priority="24">
      <formula>0</formula>
    </cfRule>
  </conditionalFormatting>
  <conditionalFormatting sqref="Q192:R195 C192:P196">
    <cfRule type="containsErrors" dxfId="30" priority="25">
      <formula>0</formula>
    </cfRule>
  </conditionalFormatting>
  <conditionalFormatting sqref="C197:R200">
    <cfRule type="containsErrors" dxfId="29" priority="26">
      <formula>0</formula>
    </cfRule>
  </conditionalFormatting>
  <conditionalFormatting sqref="Q182:R185 C182:P186">
    <cfRule type="containsErrors" dxfId="28" priority="27">
      <formula>0</formula>
    </cfRule>
  </conditionalFormatting>
  <conditionalFormatting sqref="C187:R190">
    <cfRule type="containsErrors" dxfId="27" priority="28">
      <formula>0</formula>
    </cfRule>
  </conditionalFormatting>
  <conditionalFormatting sqref="Q172:R175 C172:P176">
    <cfRule type="containsErrors" dxfId="26" priority="29">
      <formula>0</formula>
    </cfRule>
  </conditionalFormatting>
  <conditionalFormatting sqref="C177:R180">
    <cfRule type="containsErrors" dxfId="25" priority="30">
      <formula>0</formula>
    </cfRule>
  </conditionalFormatting>
  <conditionalFormatting sqref="C157:R160">
    <cfRule type="containsErrors" dxfId="24" priority="31">
      <formula>0</formula>
    </cfRule>
  </conditionalFormatting>
  <conditionalFormatting sqref="C167:R170">
    <cfRule type="containsErrors" dxfId="23" priority="32">
      <formula>0</formula>
    </cfRule>
  </conditionalFormatting>
  <conditionalFormatting sqref="C147:R150">
    <cfRule type="containsErrors" dxfId="22" priority="33">
      <formula>0</formula>
    </cfRule>
  </conditionalFormatting>
  <conditionalFormatting sqref="Q162:R165 C162:P166">
    <cfRule type="containsErrors" dxfId="21" priority="34">
      <formula>0</formula>
    </cfRule>
  </conditionalFormatting>
  <conditionalFormatting sqref="C137:R140">
    <cfRule type="containsErrors" dxfId="20" priority="35">
      <formula>0</formula>
    </cfRule>
  </conditionalFormatting>
  <conditionalFormatting sqref="Q152:R155 C152:P156">
    <cfRule type="containsErrors" dxfId="19" priority="36">
      <formula>0</formula>
    </cfRule>
  </conditionalFormatting>
  <conditionalFormatting sqref="Q142:R145 C142:P146">
    <cfRule type="containsErrors" dxfId="18" priority="37">
      <formula>0</formula>
    </cfRule>
  </conditionalFormatting>
  <conditionalFormatting sqref="C117:R120">
    <cfRule type="containsErrors" dxfId="17" priority="38">
      <formula>0</formula>
    </cfRule>
  </conditionalFormatting>
  <conditionalFormatting sqref="Q132:R135 C132:P136">
    <cfRule type="containsErrors" dxfId="16" priority="39">
      <formula>0</formula>
    </cfRule>
  </conditionalFormatting>
  <conditionalFormatting sqref="Q112:R115 C112:P116">
    <cfRule type="containsErrors" dxfId="15" priority="40">
      <formula>0</formula>
    </cfRule>
  </conditionalFormatting>
  <conditionalFormatting sqref="C127:R130">
    <cfRule type="containsErrors" dxfId="14" priority="41">
      <formula>0</formula>
    </cfRule>
  </conditionalFormatting>
  <conditionalFormatting sqref="C107:R110">
    <cfRule type="containsErrors" dxfId="13" priority="42">
      <formula>0</formula>
    </cfRule>
  </conditionalFormatting>
  <conditionalFormatting sqref="Q122:R125 C122:P126">
    <cfRule type="containsErrors" dxfId="12" priority="43">
      <formula>0</formula>
    </cfRule>
  </conditionalFormatting>
  <conditionalFormatting sqref="Q102:R105 C102:P106">
    <cfRule type="containsErrors" dxfId="11" priority="44">
      <formula>0</formula>
    </cfRule>
  </conditionalFormatting>
  <conditionalFormatting sqref="C97:R100">
    <cfRule type="containsErrors" dxfId="10" priority="45">
      <formula>0</formula>
    </cfRule>
  </conditionalFormatting>
  <conditionalFormatting sqref="Q92:R95 C92:P96">
    <cfRule type="containsErrors" dxfId="9" priority="46">
      <formula>0</formula>
    </cfRule>
  </conditionalFormatting>
  <conditionalFormatting sqref="C77:R80">
    <cfRule type="containsErrors" dxfId="8" priority="47">
      <formula>0</formula>
    </cfRule>
  </conditionalFormatting>
  <conditionalFormatting sqref="Q82:R85 C82:P86">
    <cfRule type="containsErrors" dxfId="7" priority="48">
      <formula>0</formula>
    </cfRule>
  </conditionalFormatting>
  <conditionalFormatting sqref="C67:R70">
    <cfRule type="containsErrors" dxfId="6" priority="49">
      <formula>0</formula>
    </cfRule>
  </conditionalFormatting>
  <conditionalFormatting sqref="Q72:R75 C72:P76">
    <cfRule type="containsErrors" dxfId="5" priority="50">
      <formula>0</formula>
    </cfRule>
  </conditionalFormatting>
  <conditionalFormatting sqref="C87:R90">
    <cfRule type="containsErrors" dxfId="4" priority="51">
      <formula>0</formula>
    </cfRule>
  </conditionalFormatting>
  <conditionalFormatting sqref="C57:R60">
    <cfRule type="containsErrors" dxfId="3" priority="52">
      <formula>0</formula>
    </cfRule>
  </conditionalFormatting>
  <conditionalFormatting sqref="Q62:R65 C62:P66">
    <cfRule type="containsErrors" dxfId="2" priority="53">
      <formula>0</formula>
    </cfRule>
  </conditionalFormatting>
  <conditionalFormatting sqref="C47:R50">
    <cfRule type="containsErrors" dxfId="1" priority="54">
      <formula>0</formula>
    </cfRule>
  </conditionalFormatting>
  <conditionalFormatting sqref="Q52:R55 C52:P56">
    <cfRule type="containsErrors" dxfId="0" priority="55">
      <formula>0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0"/>
  <sheetViews>
    <sheetView zoomScaleNormal="100" workbookViewId="0"/>
  </sheetViews>
  <sheetFormatPr defaultRowHeight="12.75" x14ac:dyDescent="0.2"/>
  <cols>
    <col min="1" max="1" width="11.28515625" style="133" customWidth="1"/>
    <col min="2" max="2" width="14" customWidth="1"/>
    <col min="3" max="1025" width="8.7109375" customWidth="1"/>
  </cols>
  <sheetData>
    <row r="1" spans="1:4" x14ac:dyDescent="0.2">
      <c r="A1" s="134" t="s">
        <v>195</v>
      </c>
    </row>
    <row r="3" spans="1:4" x14ac:dyDescent="0.2">
      <c r="A3" s="133" t="s">
        <v>196</v>
      </c>
    </row>
    <row r="4" spans="1:4" x14ac:dyDescent="0.2">
      <c r="A4" s="135">
        <v>80</v>
      </c>
    </row>
    <row r="5" spans="1:4" x14ac:dyDescent="0.2">
      <c r="A5" s="133" t="s">
        <v>197</v>
      </c>
    </row>
    <row r="6" spans="1:4" x14ac:dyDescent="0.2">
      <c r="A6" s="136">
        <f>A4*1000/3600</f>
        <v>22.222222222222221</v>
      </c>
    </row>
    <row r="8" spans="1:4" x14ac:dyDescent="0.2">
      <c r="A8" s="133" t="s">
        <v>198</v>
      </c>
      <c r="B8" s="8" t="s">
        <v>102</v>
      </c>
    </row>
    <row r="9" spans="1:4" x14ac:dyDescent="0.2">
      <c r="A9" s="133">
        <v>3</v>
      </c>
      <c r="B9" s="133">
        <f t="shared" ref="B9:B17" si="0">A9*1000/$A$6</f>
        <v>135</v>
      </c>
      <c r="D9" s="137"/>
    </row>
    <row r="10" spans="1:4" x14ac:dyDescent="0.2">
      <c r="A10" s="133">
        <v>5</v>
      </c>
      <c r="B10" s="133">
        <f t="shared" si="0"/>
        <v>225</v>
      </c>
      <c r="D10" s="137"/>
    </row>
    <row r="11" spans="1:4" x14ac:dyDescent="0.2">
      <c r="A11" s="133">
        <v>10</v>
      </c>
      <c r="B11" s="133">
        <f t="shared" si="0"/>
        <v>450</v>
      </c>
      <c r="D11" s="137"/>
    </row>
    <row r="12" spans="1:4" x14ac:dyDescent="0.2">
      <c r="A12" s="133">
        <v>15</v>
      </c>
      <c r="B12" s="133">
        <f t="shared" si="0"/>
        <v>675</v>
      </c>
      <c r="D12" s="137"/>
    </row>
    <row r="13" spans="1:4" x14ac:dyDescent="0.2">
      <c r="A13" s="133">
        <v>50</v>
      </c>
      <c r="B13" s="133">
        <f t="shared" si="0"/>
        <v>2250</v>
      </c>
      <c r="D13" s="137"/>
    </row>
    <row r="14" spans="1:4" x14ac:dyDescent="0.2">
      <c r="A14" s="133">
        <v>75</v>
      </c>
      <c r="B14" s="133">
        <f t="shared" si="0"/>
        <v>3375</v>
      </c>
      <c r="D14" s="137"/>
    </row>
    <row r="15" spans="1:4" x14ac:dyDescent="0.2">
      <c r="A15" s="133">
        <v>100</v>
      </c>
      <c r="B15" s="133">
        <f t="shared" si="0"/>
        <v>4500</v>
      </c>
      <c r="D15" s="137"/>
    </row>
    <row r="16" spans="1:4" x14ac:dyDescent="0.2">
      <c r="A16" s="133">
        <v>150</v>
      </c>
      <c r="B16" s="133">
        <f t="shared" si="0"/>
        <v>6750</v>
      </c>
      <c r="D16" s="137"/>
    </row>
    <row r="17" spans="1:4" x14ac:dyDescent="0.2">
      <c r="A17" s="133">
        <v>180</v>
      </c>
      <c r="B17" s="133">
        <f t="shared" si="0"/>
        <v>8100</v>
      </c>
      <c r="D17" s="137"/>
    </row>
    <row r="20" spans="1:4" x14ac:dyDescent="0.2">
      <c r="A20" s="135" t="s">
        <v>199</v>
      </c>
      <c r="B20" s="25">
        <v>5000</v>
      </c>
    </row>
  </sheetData>
  <pageMargins left="0.75" right="0.75" top="1" bottom="1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737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ReadMe</vt:lpstr>
      <vt:lpstr>TRFsetup</vt:lpstr>
      <vt:lpstr>TRFdata</vt:lpstr>
      <vt:lpstr>DIR1count</vt:lpstr>
      <vt:lpstr>DIR2count</vt:lpstr>
      <vt:lpstr>Trarr TSE</vt:lpstr>
      <vt:lpstr>DIR1count!ClassTimeDir1</vt:lpstr>
      <vt:lpstr>DIR1count!HourClass</vt:lpstr>
    </vt:vector>
  </TitlesOfParts>
  <Company>NSW Roads &amp; Traffic Authority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IRONS Neale M</dc:creator>
  <cp:lastModifiedBy>IRONS Neale M</cp:lastModifiedBy>
  <cp:revision>5</cp:revision>
  <cp:lastPrinted>2018-06-21T04:44:03Z</cp:lastPrinted>
  <dcterms:created xsi:type="dcterms:W3CDTF">2018-06-21T21:48:18Z</dcterms:created>
  <dcterms:modified xsi:type="dcterms:W3CDTF">2018-06-21T22:16:08Z</dcterms:modified>
  <dc:language>en-AU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NSW Roads &amp; Traffic Authority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AdHocReviewCycleID">
    <vt:i4>1101866075</vt:i4>
  </property>
  <property fmtid="{D5CDD505-2E9C-101B-9397-08002B2CF9AE}" pid="10" name="_AuthorEmail">
    <vt:lpwstr>Neale.IRONS@rms.nsw.gov.au</vt:lpwstr>
  </property>
  <property fmtid="{D5CDD505-2E9C-101B-9397-08002B2CF9AE}" pid="11" name="_AuthorEmailDisplayName">
    <vt:lpwstr>IRONS Neale M</vt:lpwstr>
  </property>
  <property fmtid="{D5CDD505-2E9C-101B-9397-08002B2CF9AE}" pid="12" name="_EmailSubject">
    <vt:lpwstr>Trarr Files</vt:lpwstr>
  </property>
  <property fmtid="{D5CDD505-2E9C-101B-9397-08002B2CF9AE}" pid="13" name="_NewReviewCycle">
    <vt:lpwstr/>
  </property>
  <property fmtid="{D5CDD505-2E9C-101B-9397-08002B2CF9AE}" pid="14" name="_PreviousAdHocReviewCycleID">
    <vt:i4>-1176586839</vt:i4>
  </property>
  <property fmtid="{D5CDD505-2E9C-101B-9397-08002B2CF9AE}" pid="15" name="_ReviewingToolsShownOnce">
    <vt:lpwstr/>
  </property>
</Properties>
</file>