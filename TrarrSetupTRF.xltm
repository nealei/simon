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7210" windowHeight="12825" tabRatio="500"/>
  </bookViews>
  <sheets>
    <sheet name="ReadMe" sheetId="1" r:id="rId1"/>
    <sheet name="TRFsetup" sheetId="2" r:id="rId2"/>
    <sheet name="TRFdata" sheetId="3" r:id="rId3"/>
    <sheet name="DIR1count" sheetId="4" r:id="rId4"/>
    <sheet name="DIR2count" sheetId="5" r:id="rId5"/>
    <sheet name="Trarr TSE" sheetId="6" r:id="rId6"/>
    <sheet name="TRFwsht" sheetId="7" r:id="rId7"/>
  </sheets>
  <externalReferences>
    <externalReference r:id="rId8"/>
  </externalReferences>
  <definedNames>
    <definedName name="_LN1">[1]LLHwsht!$D$5</definedName>
    <definedName name="_LN2">[1]LLHwsht!$AD$5</definedName>
    <definedName name="_LN3">[1]LLHwsht!$BD$5</definedName>
    <definedName name="_LN4">[1]LLHwsht!$CD$5</definedName>
    <definedName name="_LN5">[1]LLHwsht!$DD$5</definedName>
    <definedName name="_LN6">[1]LLHwsht!$ED$5</definedName>
    <definedName name="_LN7">[1]LLHwsht!$FD$5</definedName>
    <definedName name="_LN8">[1]LLHwsht!$GD$5</definedName>
    <definedName name="_LN9">[1]LLHwsht!$HD$5</definedName>
    <definedName name="_RN1">[1]RODwsht!$E$2</definedName>
    <definedName name="_RN10">[1]RODwsht!$GL$2</definedName>
    <definedName name="_RN11">[1]RODwsht!$HG$2</definedName>
    <definedName name="_RN12">[1]RODwsht!$IB$2</definedName>
    <definedName name="_RN2">[1]RODwsht!$Z$2</definedName>
    <definedName name="_RN3">[1]RODwsht!$AU$2</definedName>
    <definedName name="_RN4">[1]RODwsht!$BP$2</definedName>
    <definedName name="_RN5">[1]RODwsht!$CK$2</definedName>
    <definedName name="_RN6">[1]RODwsht!$DF$2</definedName>
    <definedName name="_RN7">[1]RODwsht!$EA$2</definedName>
    <definedName name="_RN8">[1]RODwsht!$EV$2</definedName>
    <definedName name="_RN9">[1]RODwsht!$FQ$2</definedName>
    <definedName name="_TN1">TRFwsht!$G$5</definedName>
    <definedName name="_TN10">TRFwsht!$BR$5</definedName>
    <definedName name="_TN11">TRFwsht!$BY$5</definedName>
    <definedName name="_TN12">TRFwsht!$CF$5</definedName>
    <definedName name="_TN13">TRFwsht!$CM$5</definedName>
    <definedName name="_TN14">TRFwsht!$CT$5</definedName>
    <definedName name="_TN15">TRFwsht!$DA$5</definedName>
    <definedName name="_TN16">TRFwsht!$DH$5</definedName>
    <definedName name="_TN17">TRFwsht!$DO$5</definedName>
    <definedName name="_TN18">TRFwsht!$DV$5</definedName>
    <definedName name="_TN19">TRFwsht!$EC$5</definedName>
    <definedName name="_TN2">TRFwsht!$N$5</definedName>
    <definedName name="_TN20">TRFwsht!$EJ$5</definedName>
    <definedName name="_TN21">TRFwsht!$EQ$5</definedName>
    <definedName name="_TN22">TRFwsht!$EX$5</definedName>
    <definedName name="_TN23">TRFwsht!$FE$5</definedName>
    <definedName name="_TN24">TRFwsht!$FL$5</definedName>
    <definedName name="_TN25">TRFwsht!$FS$5</definedName>
    <definedName name="_TN26">TRFwsht!$FZ$5</definedName>
    <definedName name="_TN27">TRFwsht!$GG$5</definedName>
    <definedName name="_TN28">TRFwsht!$GN$5</definedName>
    <definedName name="_TN29">TRFwsht!$GU$5</definedName>
    <definedName name="_TN3">TRFwsht!$U$5</definedName>
    <definedName name="_TN30">TRFwsht!$HB$5</definedName>
    <definedName name="_TN31">TRFwsht!$HI$5</definedName>
    <definedName name="_TN32">TRFwsht!$HP$5</definedName>
    <definedName name="_TN33">TRFwsht!$HW$5</definedName>
    <definedName name="_TN34">TRFwsht!$ID$5</definedName>
    <definedName name="_TN35">TRFwsht!$IK$5</definedName>
    <definedName name="_TN36">TRFwsht!$IR$5</definedName>
    <definedName name="_TN4">TRFwsht!$AB$5</definedName>
    <definedName name="_TN5">TRFwsht!$AI$5</definedName>
    <definedName name="_TN6">TRFwsht!$AP$5</definedName>
    <definedName name="_TN7">TRFwsht!$AW$5</definedName>
    <definedName name="_TN8">TRFwsht!$BD$5</definedName>
    <definedName name="_TN9">TRFwsht!$BK$5</definedName>
    <definedName name="_TS1">TRFwsht!$E$8</definedName>
    <definedName name="_TS10">TRFwsht!$BP$8</definedName>
    <definedName name="_TS11">TRFwsht!$BW$8</definedName>
    <definedName name="_TS12">TRFwsht!$CD$8</definedName>
    <definedName name="_TS13">TRFwsht!$CK$8</definedName>
    <definedName name="_TS14">TRFwsht!$CR$8</definedName>
    <definedName name="_TS15">TRFwsht!$CY$8</definedName>
    <definedName name="_TS16">TRFwsht!$DF$8</definedName>
    <definedName name="_TS17">TRFwsht!$DM$8</definedName>
    <definedName name="_TS18">TRFwsht!$DT$8</definedName>
    <definedName name="_TS19">TRFwsht!$EA$8</definedName>
    <definedName name="_TS2">TRFwsht!$L$8</definedName>
    <definedName name="_TS20">TRFwsht!$EH$8</definedName>
    <definedName name="_TS21">TRFwsht!$EO$8</definedName>
    <definedName name="_TS22">TRFwsht!$EV$8</definedName>
    <definedName name="_TS23">TRFwsht!$FC$8</definedName>
    <definedName name="_TS24">TRFwsht!$FJ$8</definedName>
    <definedName name="_TS25">TRFwsht!$FQ$8</definedName>
    <definedName name="_TS26">TRFwsht!$FX$8</definedName>
    <definedName name="_TS27">TRFwsht!$GE$8</definedName>
    <definedName name="_TS28">TRFwsht!$GL$8</definedName>
    <definedName name="_TS29">TRFwsht!$GS$8</definedName>
    <definedName name="_TS3">TRFwsht!$S$8</definedName>
    <definedName name="_TS30">TRFwsht!$GZ$8</definedName>
    <definedName name="_TS31">TRFwsht!$HG$8</definedName>
    <definedName name="_TS32">TRFwsht!$HN$8</definedName>
    <definedName name="_TS33">TRFwsht!$HU$8</definedName>
    <definedName name="_TS34">TRFwsht!$IB$8</definedName>
    <definedName name="_TS35">TRFwsht!$II$8</definedName>
    <definedName name="_TS36">TRFwsht!$IP$8</definedName>
    <definedName name="_TS4">TRFwsht!$Z$8</definedName>
    <definedName name="_TS5">TRFwsht!$AG$8</definedName>
    <definedName name="_TS6">TRFwsht!$AN$8</definedName>
    <definedName name="_TS7">TRFwsht!$AU$8</definedName>
    <definedName name="_TS8">TRFwsht!$BB$8</definedName>
    <definedName name="_TS9">TRFwsht!$BI$8</definedName>
    <definedName name="nrec1">[1]LLHwsht!$H$5</definedName>
    <definedName name="nrec2">[1]LLHwsht!$AH$5</definedName>
    <definedName name="nrec4">[1]LLHwsht!$CH$5</definedName>
    <definedName name="nrec5">[1]LLHwsht!$DH$5</definedName>
    <definedName name="nrec6">[1]LLHwsht!$EH$5</definedName>
    <definedName name="nrec7">[1]LLHwsht!$FH$5</definedName>
    <definedName name="nrec8">[1]LLHwsht!$GH$5</definedName>
    <definedName name="nrec9">[1]LLHwsht!$HH$5</definedName>
    <definedName name="rBAR1">#REF!</definedName>
    <definedName name="rBAR2">#REF!</definedName>
    <definedName name="rOTL1">#REF!</definedName>
    <definedName name="rOTL2">#REF!</definedName>
    <definedName name="rRdEndCh">#REF!</definedName>
    <definedName name="rRdLength">#REF!</definedName>
    <definedName name="rRdName">#REF!</definedName>
    <definedName name="rRdStartCh">#REF!</definedName>
    <definedName name="rSPL">#REF!</definedName>
  </definedNames>
  <calcPr calcId="145621" iterateDelta="1E-4"/>
</workbook>
</file>

<file path=xl/calcChain.xml><?xml version="1.0" encoding="utf-8"?>
<calcChain xmlns="http://schemas.openxmlformats.org/spreadsheetml/2006/main">
  <c r="D36" i="3" l="1"/>
  <c r="E36" i="3"/>
  <c r="F36" i="3"/>
  <c r="G36" i="3"/>
  <c r="H36" i="3"/>
  <c r="I36" i="3"/>
  <c r="J36" i="3"/>
  <c r="K36" i="3"/>
  <c r="L36" i="3"/>
  <c r="M36" i="3"/>
  <c r="N36" i="3"/>
  <c r="D37" i="3"/>
  <c r="E37" i="3"/>
  <c r="F37" i="3"/>
  <c r="G37" i="3"/>
  <c r="H37" i="3"/>
  <c r="I37" i="3"/>
  <c r="J37" i="3"/>
  <c r="K37" i="3"/>
  <c r="L37" i="3"/>
  <c r="M37" i="3"/>
  <c r="N37" i="3"/>
  <c r="D39" i="3"/>
  <c r="E39" i="3"/>
  <c r="F39" i="3"/>
  <c r="G39" i="3"/>
  <c r="H39" i="3"/>
  <c r="I39" i="3"/>
  <c r="J39" i="3"/>
  <c r="K39" i="3"/>
  <c r="L39" i="3"/>
  <c r="M39" i="3"/>
  <c r="N39" i="3"/>
  <c r="D40" i="3"/>
  <c r="E40" i="3"/>
  <c r="F40" i="3"/>
  <c r="G40" i="3"/>
  <c r="H40" i="3"/>
  <c r="I40" i="3"/>
  <c r="J40" i="3"/>
  <c r="K40" i="3"/>
  <c r="L40" i="3"/>
  <c r="M40" i="3"/>
  <c r="N40" i="3"/>
  <c r="D41" i="3"/>
  <c r="E41" i="3"/>
  <c r="F41" i="3"/>
  <c r="G41" i="3"/>
  <c r="H41" i="3"/>
  <c r="I41" i="3"/>
  <c r="J41" i="3"/>
  <c r="K41" i="3"/>
  <c r="L41" i="3"/>
  <c r="M41" i="3"/>
  <c r="N41" i="3"/>
  <c r="D42" i="3"/>
  <c r="E42" i="3"/>
  <c r="F42" i="3"/>
  <c r="G42" i="3"/>
  <c r="H42" i="3"/>
  <c r="I42" i="3"/>
  <c r="J42" i="3"/>
  <c r="K42" i="3"/>
  <c r="L42" i="3"/>
  <c r="M42" i="3"/>
  <c r="N42" i="3"/>
  <c r="D43" i="3"/>
  <c r="E43" i="3"/>
  <c r="F43" i="3"/>
  <c r="G43" i="3"/>
  <c r="H43" i="3"/>
  <c r="I43" i="3"/>
  <c r="J43" i="3"/>
  <c r="K43" i="3"/>
  <c r="L43" i="3"/>
  <c r="M43" i="3"/>
  <c r="N43" i="3"/>
  <c r="D44" i="3"/>
  <c r="E44" i="3"/>
  <c r="F44" i="3"/>
  <c r="G44" i="3"/>
  <c r="H44" i="3"/>
  <c r="I44" i="3"/>
  <c r="J44" i="3"/>
  <c r="K44" i="3"/>
  <c r="L44" i="3"/>
  <c r="M44" i="3"/>
  <c r="N44" i="3"/>
  <c r="D46" i="3"/>
  <c r="E46" i="3"/>
  <c r="F46" i="3"/>
  <c r="G46" i="3"/>
  <c r="H46" i="3"/>
  <c r="I46" i="3"/>
  <c r="J46" i="3"/>
  <c r="K46" i="3"/>
  <c r="L46" i="3"/>
  <c r="M46" i="3"/>
  <c r="N46" i="3"/>
  <c r="C37" i="3"/>
  <c r="C36" i="3"/>
  <c r="C39" i="3"/>
  <c r="C40" i="3"/>
  <c r="C41" i="3"/>
  <c r="C44" i="3"/>
  <c r="C46" i="3"/>
  <c r="C42" i="3"/>
  <c r="C43" i="3"/>
  <c r="B56" i="2"/>
  <c r="C4" i="3"/>
  <c r="D26" i="2"/>
  <c r="D27" i="2"/>
  <c r="B57" i="2" l="1"/>
  <c r="CF39" i="7"/>
  <c r="CC39" i="7"/>
  <c r="BY39" i="7"/>
  <c r="BV39" i="7"/>
  <c r="BR39" i="7"/>
  <c r="BO39" i="7"/>
  <c r="BK39" i="7"/>
  <c r="BH39" i="7"/>
  <c r="BD39" i="7"/>
  <c r="BA39" i="7"/>
  <c r="AW39" i="7"/>
  <c r="AT39" i="7"/>
  <c r="AP39" i="7"/>
  <c r="AM39" i="7"/>
  <c r="AI39" i="7"/>
  <c r="AF39" i="7"/>
  <c r="AB39" i="7"/>
  <c r="Y39" i="7"/>
  <c r="U39" i="7"/>
  <c r="R39" i="7"/>
  <c r="N39" i="7"/>
  <c r="K39" i="7"/>
  <c r="G39" i="7"/>
  <c r="D39" i="7"/>
  <c r="CF38" i="7"/>
  <c r="CC38" i="7"/>
  <c r="BY38" i="7"/>
  <c r="BV38" i="7"/>
  <c r="BR38" i="7"/>
  <c r="BO38" i="7"/>
  <c r="BK38" i="7"/>
  <c r="BH38" i="7"/>
  <c r="BD38" i="7"/>
  <c r="BA38" i="7"/>
  <c r="AW38" i="7"/>
  <c r="AT38" i="7"/>
  <c r="AP38" i="7"/>
  <c r="AM38" i="7"/>
  <c r="AI38" i="7"/>
  <c r="AF38" i="7"/>
  <c r="AB38" i="7"/>
  <c r="Y38" i="7"/>
  <c r="U38" i="7"/>
  <c r="R38" i="7"/>
  <c r="N38" i="7"/>
  <c r="K38" i="7"/>
  <c r="G38" i="7"/>
  <c r="D38" i="7"/>
  <c r="CF37" i="7"/>
  <c r="CC37" i="7"/>
  <c r="BY37" i="7"/>
  <c r="BV37" i="7"/>
  <c r="BR37" i="7"/>
  <c r="BO37" i="7"/>
  <c r="BK37" i="7"/>
  <c r="BH37" i="7"/>
  <c r="BD37" i="7"/>
  <c r="BA37" i="7"/>
  <c r="AW37" i="7"/>
  <c r="AT37" i="7"/>
  <c r="AP37" i="7"/>
  <c r="AM37" i="7"/>
  <c r="AI37" i="7"/>
  <c r="AF37" i="7"/>
  <c r="AB37" i="7"/>
  <c r="Y37" i="7"/>
  <c r="U37" i="7"/>
  <c r="R37" i="7"/>
  <c r="N37" i="7"/>
  <c r="K37" i="7"/>
  <c r="G37" i="7"/>
  <c r="D37" i="7"/>
  <c r="CF36" i="7"/>
  <c r="CC36" i="7"/>
  <c r="BY36" i="7"/>
  <c r="BV36" i="7"/>
  <c r="BR36" i="7"/>
  <c r="BO36" i="7"/>
  <c r="BK36" i="7"/>
  <c r="BH36" i="7"/>
  <c r="BD36" i="7"/>
  <c r="BA36" i="7"/>
  <c r="AW36" i="7"/>
  <c r="AT36" i="7"/>
  <c r="AP36" i="7"/>
  <c r="AM36" i="7"/>
  <c r="AI36" i="7"/>
  <c r="AF36" i="7"/>
  <c r="AB36" i="7"/>
  <c r="Y36" i="7"/>
  <c r="U36" i="7"/>
  <c r="R36" i="7"/>
  <c r="N36" i="7"/>
  <c r="K36" i="7"/>
  <c r="G36" i="7"/>
  <c r="D36" i="7"/>
  <c r="CF35" i="7"/>
  <c r="CC35" i="7"/>
  <c r="BY35" i="7"/>
  <c r="BV35" i="7"/>
  <c r="BR35" i="7"/>
  <c r="BO35" i="7"/>
  <c r="BK35" i="7"/>
  <c r="BH35" i="7"/>
  <c r="BD35" i="7"/>
  <c r="BA35" i="7"/>
  <c r="AW35" i="7"/>
  <c r="AT35" i="7"/>
  <c r="AP35" i="7"/>
  <c r="AM35" i="7"/>
  <c r="AI35" i="7"/>
  <c r="AF35" i="7"/>
  <c r="AB35" i="7"/>
  <c r="Y35" i="7"/>
  <c r="U35" i="7"/>
  <c r="R35" i="7"/>
  <c r="N35" i="7"/>
  <c r="K35" i="7"/>
  <c r="G35" i="7"/>
  <c r="D35" i="7"/>
  <c r="IR33" i="7"/>
  <c r="IK33" i="7"/>
  <c r="ID33" i="7"/>
  <c r="HW33" i="7"/>
  <c r="HP33" i="7"/>
  <c r="HI33" i="7"/>
  <c r="HB33" i="7"/>
  <c r="GU33" i="7"/>
  <c r="GN33" i="7"/>
  <c r="GG33" i="7"/>
  <c r="FZ33" i="7"/>
  <c r="FS33" i="7"/>
  <c r="FL33" i="7"/>
  <c r="FE33" i="7"/>
  <c r="EX33" i="7"/>
  <c r="EQ33" i="7"/>
  <c r="EJ33" i="7"/>
  <c r="EC33" i="7"/>
  <c r="DV33" i="7"/>
  <c r="DO33" i="7"/>
  <c r="DH33" i="7"/>
  <c r="DA33" i="7"/>
  <c r="CT33" i="7"/>
  <c r="CM33" i="7"/>
  <c r="HQ27" i="7"/>
  <c r="GS27" i="7"/>
  <c r="GV27" i="7" s="1"/>
  <c r="GO27" i="7"/>
  <c r="EO27" i="7"/>
  <c r="ER27" i="7" s="1"/>
  <c r="EK27" i="7"/>
  <c r="DM27" i="7"/>
  <c r="DP27" i="7" s="1"/>
  <c r="HX26" i="7"/>
  <c r="HU26" i="7"/>
  <c r="FQ26" i="7"/>
  <c r="FT26" i="7" s="1"/>
  <c r="FM26" i="7"/>
  <c r="EO26" i="7"/>
  <c r="ER26" i="7" s="1"/>
  <c r="DM26" i="7"/>
  <c r="DP26" i="7" s="1"/>
  <c r="CK26" i="7"/>
  <c r="CN26" i="7" s="1"/>
  <c r="FT25" i="7"/>
  <c r="FQ25" i="7"/>
  <c r="DM25" i="7"/>
  <c r="DP25" i="7" s="1"/>
  <c r="HU24" i="7"/>
  <c r="HX24" i="7" s="1"/>
  <c r="HQ24" i="7"/>
  <c r="GV24" i="7"/>
  <c r="GS24" i="7"/>
  <c r="EO24" i="7"/>
  <c r="ER24" i="7" s="1"/>
  <c r="EK24" i="7"/>
  <c r="IS23" i="7"/>
  <c r="HU23" i="7"/>
  <c r="HX23" i="7" s="1"/>
  <c r="FQ23" i="7"/>
  <c r="FT23" i="7" s="1"/>
  <c r="FM23" i="7"/>
  <c r="DP23" i="7"/>
  <c r="DM23" i="7"/>
  <c r="CN23" i="7"/>
  <c r="CK23" i="7"/>
  <c r="HU22" i="7"/>
  <c r="HX22" i="7" s="1"/>
  <c r="GS22" i="7"/>
  <c r="GV22" i="7" s="1"/>
  <c r="GO22" i="7"/>
  <c r="FT22" i="7"/>
  <c r="FQ22" i="7"/>
  <c r="ER22" i="7"/>
  <c r="EO22" i="7"/>
  <c r="DM22" i="7"/>
  <c r="DP22" i="7" s="1"/>
  <c r="DI22" i="7"/>
  <c r="CK22" i="7"/>
  <c r="CN22" i="7" s="1"/>
  <c r="IS20" i="7"/>
  <c r="IP27" i="7" s="1"/>
  <c r="IS27" i="7" s="1"/>
  <c r="IP20" i="7"/>
  <c r="IP24" i="7" s="1"/>
  <c r="IS24" i="7" s="1"/>
  <c r="IL20" i="7"/>
  <c r="II27" i="7" s="1"/>
  <c r="IL27" i="7" s="1"/>
  <c r="II20" i="7"/>
  <c r="II24" i="7" s="1"/>
  <c r="IL24" i="7" s="1"/>
  <c r="IE20" i="7"/>
  <c r="IB27" i="7" s="1"/>
  <c r="IE27" i="7" s="1"/>
  <c r="IB20" i="7"/>
  <c r="IB24" i="7" s="1"/>
  <c r="IE24" i="7" s="1"/>
  <c r="HX20" i="7"/>
  <c r="HU27" i="7" s="1"/>
  <c r="HX27" i="7" s="1"/>
  <c r="HU20" i="7"/>
  <c r="HQ20" i="7"/>
  <c r="HN27" i="7" s="1"/>
  <c r="HN20" i="7"/>
  <c r="HN24" i="7" s="1"/>
  <c r="HJ20" i="7"/>
  <c r="HG27" i="7" s="1"/>
  <c r="HJ27" i="7" s="1"/>
  <c r="HG20" i="7"/>
  <c r="HG24" i="7" s="1"/>
  <c r="HJ24" i="7" s="1"/>
  <c r="HC20" i="7"/>
  <c r="GZ27" i="7" s="1"/>
  <c r="HC27" i="7" s="1"/>
  <c r="GZ20" i="7"/>
  <c r="GZ24" i="7" s="1"/>
  <c r="HC24" i="7" s="1"/>
  <c r="GV20" i="7"/>
  <c r="GS20" i="7"/>
  <c r="GO20" i="7"/>
  <c r="GL27" i="7" s="1"/>
  <c r="GL20" i="7"/>
  <c r="GL24" i="7" s="1"/>
  <c r="GO24" i="7" s="1"/>
  <c r="GH20" i="7"/>
  <c r="GE27" i="7" s="1"/>
  <c r="GH27" i="7" s="1"/>
  <c r="GE20" i="7"/>
  <c r="GE24" i="7" s="1"/>
  <c r="GH24" i="7" s="1"/>
  <c r="GA20" i="7"/>
  <c r="FX27" i="7" s="1"/>
  <c r="GA27" i="7" s="1"/>
  <c r="FX20" i="7"/>
  <c r="FX24" i="7" s="1"/>
  <c r="GA24" i="7" s="1"/>
  <c r="FT20" i="7"/>
  <c r="FQ27" i="7" s="1"/>
  <c r="FT27" i="7" s="1"/>
  <c r="FQ20" i="7"/>
  <c r="FQ24" i="7" s="1"/>
  <c r="FT24" i="7" s="1"/>
  <c r="FM20" i="7"/>
  <c r="FJ27" i="7" s="1"/>
  <c r="FM27" i="7" s="1"/>
  <c r="FJ20" i="7"/>
  <c r="FJ24" i="7" s="1"/>
  <c r="FM24" i="7" s="1"/>
  <c r="FF20" i="7"/>
  <c r="FC27" i="7" s="1"/>
  <c r="FF27" i="7" s="1"/>
  <c r="FC20" i="7"/>
  <c r="FC24" i="7" s="1"/>
  <c r="FF24" i="7" s="1"/>
  <c r="EY20" i="7"/>
  <c r="EV27" i="7" s="1"/>
  <c r="EY27" i="7" s="1"/>
  <c r="EV20" i="7"/>
  <c r="EV24" i="7" s="1"/>
  <c r="EY24" i="7" s="1"/>
  <c r="ER20" i="7"/>
  <c r="EO20" i="7"/>
  <c r="EK20" i="7"/>
  <c r="EH27" i="7" s="1"/>
  <c r="EH20" i="7"/>
  <c r="EH24" i="7" s="1"/>
  <c r="ED20" i="7"/>
  <c r="EA27" i="7" s="1"/>
  <c r="ED27" i="7" s="1"/>
  <c r="EA20" i="7"/>
  <c r="EA24" i="7" s="1"/>
  <c r="ED24" i="7" s="1"/>
  <c r="DW20" i="7"/>
  <c r="DT27" i="7" s="1"/>
  <c r="DW27" i="7" s="1"/>
  <c r="DT20" i="7"/>
  <c r="DT24" i="7" s="1"/>
  <c r="DW24" i="7" s="1"/>
  <c r="DP20" i="7"/>
  <c r="DM20" i="7"/>
  <c r="DM24" i="7" s="1"/>
  <c r="DP24" i="7" s="1"/>
  <c r="DI20" i="7"/>
  <c r="DF27" i="7" s="1"/>
  <c r="DI27" i="7" s="1"/>
  <c r="DF20" i="7"/>
  <c r="DF24" i="7" s="1"/>
  <c r="DI24" i="7" s="1"/>
  <c r="DB20" i="7"/>
  <c r="CY27" i="7" s="1"/>
  <c r="DB27" i="7" s="1"/>
  <c r="CY20" i="7"/>
  <c r="CY24" i="7" s="1"/>
  <c r="DB24" i="7" s="1"/>
  <c r="CU20" i="7"/>
  <c r="CR27" i="7" s="1"/>
  <c r="CU27" i="7" s="1"/>
  <c r="CR20" i="7"/>
  <c r="CR24" i="7" s="1"/>
  <c r="CU24" i="7" s="1"/>
  <c r="CN20" i="7"/>
  <c r="CK27" i="7" s="1"/>
  <c r="CN27" i="7" s="1"/>
  <c r="CK20" i="7"/>
  <c r="CK24" i="7" s="1"/>
  <c r="CN24" i="7" s="1"/>
  <c r="IT19" i="7"/>
  <c r="IS19" i="7"/>
  <c r="IP26" i="7" s="1"/>
  <c r="IS26" i="7" s="1"/>
  <c r="IP19" i="7"/>
  <c r="IP23" i="7" s="1"/>
  <c r="IL19" i="7"/>
  <c r="II26" i="7" s="1"/>
  <c r="IL26" i="7" s="1"/>
  <c r="II19" i="7"/>
  <c r="II23" i="7" s="1"/>
  <c r="IL23" i="7" s="1"/>
  <c r="IE19" i="7"/>
  <c r="IB26" i="7" s="1"/>
  <c r="IE26" i="7" s="1"/>
  <c r="IB19" i="7"/>
  <c r="IB23" i="7" s="1"/>
  <c r="IE23" i="7" s="1"/>
  <c r="HX19" i="7"/>
  <c r="HU19" i="7"/>
  <c r="HQ19" i="7"/>
  <c r="HN26" i="7" s="1"/>
  <c r="HQ26" i="7" s="1"/>
  <c r="HN19" i="7"/>
  <c r="HN23" i="7" s="1"/>
  <c r="HQ23" i="7" s="1"/>
  <c r="HJ19" i="7"/>
  <c r="HG26" i="7" s="1"/>
  <c r="HJ26" i="7" s="1"/>
  <c r="HG19" i="7"/>
  <c r="HG23" i="7" s="1"/>
  <c r="HJ23" i="7" s="1"/>
  <c r="HC19" i="7"/>
  <c r="GZ26" i="7" s="1"/>
  <c r="HC26" i="7" s="1"/>
  <c r="GZ19" i="7"/>
  <c r="GZ23" i="7" s="1"/>
  <c r="HC23" i="7" s="1"/>
  <c r="GV19" i="7"/>
  <c r="GS26" i="7" s="1"/>
  <c r="GV26" i="7" s="1"/>
  <c r="GS19" i="7"/>
  <c r="GS23" i="7" s="1"/>
  <c r="GV23" i="7" s="1"/>
  <c r="GP19" i="7"/>
  <c r="GO19" i="7"/>
  <c r="GL26" i="7" s="1"/>
  <c r="GO26" i="7" s="1"/>
  <c r="GL19" i="7"/>
  <c r="GL23" i="7" s="1"/>
  <c r="GO23" i="7" s="1"/>
  <c r="GH19" i="7"/>
  <c r="GE26" i="7" s="1"/>
  <c r="GH26" i="7" s="1"/>
  <c r="GE19" i="7"/>
  <c r="GE23" i="7" s="1"/>
  <c r="GH23" i="7" s="1"/>
  <c r="GA19" i="7"/>
  <c r="FX19" i="7"/>
  <c r="FX23" i="7" s="1"/>
  <c r="GA23" i="7" s="1"/>
  <c r="FT19" i="7"/>
  <c r="FQ19" i="7"/>
  <c r="FM19" i="7"/>
  <c r="FJ26" i="7" s="1"/>
  <c r="FJ19" i="7"/>
  <c r="FJ23" i="7" s="1"/>
  <c r="FF19" i="7"/>
  <c r="FC26" i="7" s="1"/>
  <c r="FF26" i="7" s="1"/>
  <c r="FC19" i="7"/>
  <c r="FC23" i="7" s="1"/>
  <c r="FF23" i="7" s="1"/>
  <c r="EY19" i="7"/>
  <c r="EV26" i="7" s="1"/>
  <c r="EY26" i="7" s="1"/>
  <c r="EV19" i="7"/>
  <c r="EV23" i="7" s="1"/>
  <c r="EY23" i="7" s="1"/>
  <c r="ER19" i="7"/>
  <c r="EO19" i="7"/>
  <c r="EO23" i="7" s="1"/>
  <c r="ER23" i="7" s="1"/>
  <c r="EL19" i="7"/>
  <c r="EK19" i="7"/>
  <c r="EH26" i="7" s="1"/>
  <c r="EK26" i="7" s="1"/>
  <c r="EH19" i="7"/>
  <c r="EH23" i="7" s="1"/>
  <c r="EK23" i="7" s="1"/>
  <c r="ED19" i="7"/>
  <c r="EA26" i="7" s="1"/>
  <c r="ED26" i="7" s="1"/>
  <c r="EA19" i="7"/>
  <c r="EA23" i="7" s="1"/>
  <c r="ED23" i="7" s="1"/>
  <c r="DX19" i="7"/>
  <c r="DW19" i="7"/>
  <c r="DT26" i="7" s="1"/>
  <c r="DW26" i="7" s="1"/>
  <c r="DT19" i="7"/>
  <c r="DT23" i="7" s="1"/>
  <c r="DW23" i="7" s="1"/>
  <c r="DP19" i="7"/>
  <c r="DM19" i="7"/>
  <c r="DI19" i="7"/>
  <c r="DF26" i="7" s="1"/>
  <c r="DI26" i="7" s="1"/>
  <c r="DF19" i="7"/>
  <c r="DF23" i="7" s="1"/>
  <c r="DI23" i="7" s="1"/>
  <c r="DB19" i="7"/>
  <c r="CY26" i="7" s="1"/>
  <c r="DB26" i="7" s="1"/>
  <c r="CY19" i="7"/>
  <c r="CY23" i="7" s="1"/>
  <c r="DB23" i="7" s="1"/>
  <c r="CU19" i="7"/>
  <c r="CR26" i="7" s="1"/>
  <c r="CU26" i="7" s="1"/>
  <c r="CR19" i="7"/>
  <c r="CR23" i="7" s="1"/>
  <c r="CU23" i="7" s="1"/>
  <c r="CN19" i="7"/>
  <c r="CK19" i="7"/>
  <c r="IS18" i="7"/>
  <c r="IP25" i="7" s="1"/>
  <c r="IS25" i="7" s="1"/>
  <c r="IP18" i="7"/>
  <c r="IP22" i="7" s="1"/>
  <c r="IS22" i="7" s="1"/>
  <c r="IL18" i="7"/>
  <c r="II18" i="7"/>
  <c r="II22" i="7" s="1"/>
  <c r="IL22" i="7" s="1"/>
  <c r="IE18" i="7"/>
  <c r="IB25" i="7" s="1"/>
  <c r="IE25" i="7" s="1"/>
  <c r="IB18" i="7"/>
  <c r="IB22" i="7" s="1"/>
  <c r="IE22" i="7" s="1"/>
  <c r="HX18" i="7"/>
  <c r="HY19" i="7" s="1"/>
  <c r="HU18" i="7"/>
  <c r="HQ18" i="7"/>
  <c r="HN25" i="7" s="1"/>
  <c r="HQ25" i="7" s="1"/>
  <c r="HN18" i="7"/>
  <c r="HN22" i="7" s="1"/>
  <c r="HQ22" i="7" s="1"/>
  <c r="HJ18" i="7"/>
  <c r="HG18" i="7"/>
  <c r="HG22" i="7" s="1"/>
  <c r="HJ22" i="7" s="1"/>
  <c r="HC18" i="7"/>
  <c r="GZ18" i="7"/>
  <c r="GZ22" i="7" s="1"/>
  <c r="HC22" i="7" s="1"/>
  <c r="GV18" i="7"/>
  <c r="GS25" i="7" s="1"/>
  <c r="GV25" i="7" s="1"/>
  <c r="GS18" i="7"/>
  <c r="GO18" i="7"/>
  <c r="GL25" i="7" s="1"/>
  <c r="GO25" i="7" s="1"/>
  <c r="GL18" i="7"/>
  <c r="GL22" i="7" s="1"/>
  <c r="GH18" i="7"/>
  <c r="GE18" i="7"/>
  <c r="GE22" i="7" s="1"/>
  <c r="GH22" i="7" s="1"/>
  <c r="GA18" i="7"/>
  <c r="FX25" i="7" s="1"/>
  <c r="GA25" i="7" s="1"/>
  <c r="FX18" i="7"/>
  <c r="FX22" i="7" s="1"/>
  <c r="GA22" i="7" s="1"/>
  <c r="FT18" i="7"/>
  <c r="FU19" i="7" s="1"/>
  <c r="FQ18" i="7"/>
  <c r="FM18" i="7"/>
  <c r="FJ25" i="7" s="1"/>
  <c r="FM25" i="7" s="1"/>
  <c r="FJ18" i="7"/>
  <c r="FJ22" i="7" s="1"/>
  <c r="FM22" i="7" s="1"/>
  <c r="FF18" i="7"/>
  <c r="FC18" i="7"/>
  <c r="FC22" i="7" s="1"/>
  <c r="FF22" i="7" s="1"/>
  <c r="EY18" i="7"/>
  <c r="EV18" i="7"/>
  <c r="EV22" i="7" s="1"/>
  <c r="EY22" i="7" s="1"/>
  <c r="ER18" i="7"/>
  <c r="ES19" i="7" s="1"/>
  <c r="EO18" i="7"/>
  <c r="EK18" i="7"/>
  <c r="EH25" i="7" s="1"/>
  <c r="EK25" i="7" s="1"/>
  <c r="EH18" i="7"/>
  <c r="EH22" i="7" s="1"/>
  <c r="EK22" i="7" s="1"/>
  <c r="ED18" i="7"/>
  <c r="EA18" i="7"/>
  <c r="EA22" i="7" s="1"/>
  <c r="ED22" i="7" s="1"/>
  <c r="DW18" i="7"/>
  <c r="DT25" i="7" s="1"/>
  <c r="DW25" i="7" s="1"/>
  <c r="DT18" i="7"/>
  <c r="DT22" i="7" s="1"/>
  <c r="DW22" i="7" s="1"/>
  <c r="DP18" i="7"/>
  <c r="DQ19" i="7" s="1"/>
  <c r="DM18" i="7"/>
  <c r="DI18" i="7"/>
  <c r="DF25" i="7" s="1"/>
  <c r="DI25" i="7" s="1"/>
  <c r="DF18" i="7"/>
  <c r="DF22" i="7" s="1"/>
  <c r="DB18" i="7"/>
  <c r="CY25" i="7" s="1"/>
  <c r="DB25" i="7" s="1"/>
  <c r="CY18" i="7"/>
  <c r="CY22" i="7" s="1"/>
  <c r="DB22" i="7" s="1"/>
  <c r="CU18" i="7"/>
  <c r="CR18" i="7"/>
  <c r="CR22" i="7" s="1"/>
  <c r="CU22" i="7" s="1"/>
  <c r="CN18" i="7"/>
  <c r="CO19" i="7" s="1"/>
  <c r="CK18" i="7"/>
  <c r="IM16" i="7"/>
  <c r="EZ16" i="7"/>
  <c r="ES16" i="7"/>
  <c r="FD15" i="7"/>
  <c r="GF14" i="7"/>
  <c r="GB14" i="7"/>
  <c r="EL14" i="7"/>
  <c r="EB14" i="7"/>
  <c r="HR13" i="7"/>
  <c r="HH13" i="7"/>
  <c r="GP13" i="7"/>
  <c r="EW13" i="7"/>
  <c r="EL13" i="7"/>
  <c r="DX13" i="7"/>
  <c r="IM12" i="7"/>
  <c r="IF12" i="7"/>
  <c r="GP12" i="7"/>
  <c r="GB12" i="7"/>
  <c r="FN12" i="7"/>
  <c r="FK12" i="7"/>
  <c r="EL12" i="7"/>
  <c r="EE12" i="7"/>
  <c r="DG12" i="7"/>
  <c r="DC12" i="7"/>
  <c r="CZ12" i="7"/>
  <c r="IT11" i="7"/>
  <c r="IM11" i="7"/>
  <c r="HK11" i="7"/>
  <c r="GP11" i="7"/>
  <c r="GI11" i="7"/>
  <c r="GB11" i="7"/>
  <c r="EI11" i="7"/>
  <c r="EB11" i="7"/>
  <c r="DX11" i="7"/>
  <c r="DU11" i="7"/>
  <c r="II10" i="7"/>
  <c r="IE10" i="7"/>
  <c r="IB10" i="7"/>
  <c r="GE10" i="7"/>
  <c r="GA10" i="7"/>
  <c r="FX10" i="7"/>
  <c r="EA10" i="7"/>
  <c r="DW10" i="7"/>
  <c r="DT10" i="7"/>
  <c r="IE9" i="7"/>
  <c r="IB9" i="7"/>
  <c r="HG9" i="7"/>
  <c r="GE9" i="7"/>
  <c r="GA9" i="7"/>
  <c r="EO9" i="7"/>
  <c r="DW9" i="7"/>
  <c r="CU9" i="7"/>
  <c r="IS8" i="7"/>
  <c r="IP8" i="7"/>
  <c r="IP10" i="7" s="1"/>
  <c r="IL8" i="7"/>
  <c r="II8" i="7"/>
  <c r="II9" i="7" s="1"/>
  <c r="IE8" i="7"/>
  <c r="IB8" i="7"/>
  <c r="IC12" i="7" s="1"/>
  <c r="HX8" i="7"/>
  <c r="HU8" i="7"/>
  <c r="HQ8" i="7"/>
  <c r="HR11" i="7" s="1"/>
  <c r="HN8" i="7"/>
  <c r="HJ8" i="7"/>
  <c r="HG8" i="7"/>
  <c r="HH11" i="7" s="1"/>
  <c r="HC8" i="7"/>
  <c r="GZ8" i="7"/>
  <c r="GV8" i="7"/>
  <c r="GW16" i="7" s="1"/>
  <c r="GS8" i="7"/>
  <c r="GO8" i="7"/>
  <c r="GL8" i="7"/>
  <c r="GH8" i="7"/>
  <c r="GE8" i="7"/>
  <c r="GF11" i="7" s="1"/>
  <c r="GA8" i="7"/>
  <c r="FX8" i="7"/>
  <c r="FX9" i="7" s="1"/>
  <c r="FT8" i="7"/>
  <c r="FQ8" i="7"/>
  <c r="FM8" i="7"/>
  <c r="FJ8" i="7"/>
  <c r="FF8" i="7"/>
  <c r="FC8" i="7"/>
  <c r="FD16" i="7" s="1"/>
  <c r="EY8" i="7"/>
  <c r="EV8" i="7"/>
  <c r="ER8" i="7"/>
  <c r="EO8" i="7"/>
  <c r="EK8" i="7"/>
  <c r="EH8" i="7"/>
  <c r="EH10" i="7" s="1"/>
  <c r="ED8" i="7"/>
  <c r="EA8" i="7"/>
  <c r="EB13" i="7" s="1"/>
  <c r="DW8" i="7"/>
  <c r="DT8" i="7"/>
  <c r="DP8" i="7"/>
  <c r="DM8" i="7"/>
  <c r="DI8" i="7"/>
  <c r="DJ12" i="7" s="1"/>
  <c r="DF8" i="7"/>
  <c r="DB8" i="7"/>
  <c r="CY8" i="7"/>
  <c r="CY9" i="7" s="1"/>
  <c r="CU8" i="7"/>
  <c r="CR8" i="7"/>
  <c r="CN8" i="7"/>
  <c r="CK8" i="7"/>
  <c r="B17" i="6"/>
  <c r="B16" i="6"/>
  <c r="B14" i="6"/>
  <c r="B12" i="6"/>
  <c r="B10" i="6"/>
  <c r="B9" i="6"/>
  <c r="A6" i="6"/>
  <c r="A74" i="3"/>
  <c r="A73" i="3"/>
  <c r="A72" i="3"/>
  <c r="A71" i="3"/>
  <c r="A70" i="3"/>
  <c r="A69" i="3"/>
  <c r="A64" i="3"/>
  <c r="A63" i="3"/>
  <c r="A62" i="3"/>
  <c r="A61" i="3"/>
  <c r="A60" i="3"/>
  <c r="A59" i="3"/>
  <c r="A58" i="3"/>
  <c r="D32" i="3"/>
  <c r="N26" i="3"/>
  <c r="M26" i="3"/>
  <c r="L26" i="3"/>
  <c r="K26" i="3"/>
  <c r="J26" i="3"/>
  <c r="I26" i="3"/>
  <c r="H26" i="3"/>
  <c r="G26" i="3"/>
  <c r="N15" i="3"/>
  <c r="M15" i="3"/>
  <c r="L15" i="3"/>
  <c r="K15" i="3"/>
  <c r="J15" i="3"/>
  <c r="I15" i="3"/>
  <c r="H15" i="3"/>
  <c r="G15" i="3"/>
  <c r="D9" i="3" a="1"/>
  <c r="D9" i="3" s="1"/>
  <c r="F5" i="3"/>
  <c r="F8" i="3" s="1" a="1"/>
  <c r="F8" i="3" s="1"/>
  <c r="E5" i="3"/>
  <c r="E22" i="3" s="1" a="1"/>
  <c r="E22" i="3" s="1"/>
  <c r="D5" i="3"/>
  <c r="C5" i="3"/>
  <c r="J4" i="3"/>
  <c r="H4" i="3"/>
  <c r="F4" i="3"/>
  <c r="E4" i="3"/>
  <c r="D4" i="3"/>
  <c r="A3" i="3"/>
  <c r="C3" i="3" s="1"/>
  <c r="B63" i="2"/>
  <c r="B62" i="2"/>
  <c r="B61" i="2"/>
  <c r="B60" i="2"/>
  <c r="H5" i="3"/>
  <c r="I4" i="3"/>
  <c r="I3" i="3" s="1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E26" i="2"/>
  <c r="E25" i="2"/>
  <c r="D25" i="2"/>
  <c r="H3" i="3" l="1"/>
  <c r="AP5" i="7" s="1"/>
  <c r="AP33" i="7" s="1"/>
  <c r="J3" i="3"/>
  <c r="BD5" i="7" s="1"/>
  <c r="BD33" i="7" s="1"/>
  <c r="F3" i="3"/>
  <c r="AB5" i="7" s="1"/>
  <c r="AB33" i="7" s="1"/>
  <c r="E3" i="3"/>
  <c r="U5" i="7" s="1"/>
  <c r="U33" i="7" s="1"/>
  <c r="C30" i="2"/>
  <c r="D3" i="3"/>
  <c r="N5" i="7" s="1"/>
  <c r="N33" i="7" s="1"/>
  <c r="AW5" i="7"/>
  <c r="AW33" i="7" s="1"/>
  <c r="F10" i="3" a="1"/>
  <c r="F10" i="3" s="1"/>
  <c r="Z13" i="7" s="1"/>
  <c r="F11" i="3" a="1"/>
  <c r="F11" i="3" s="1"/>
  <c r="F12" i="3" a="1"/>
  <c r="F12" i="3" s="1"/>
  <c r="C28" i="2"/>
  <c r="C32" i="2"/>
  <c r="C36" i="2"/>
  <c r="C40" i="2"/>
  <c r="C44" i="2"/>
  <c r="C48" i="2"/>
  <c r="C29" i="2"/>
  <c r="C26" i="2"/>
  <c r="C27" i="2"/>
  <c r="C35" i="2"/>
  <c r="C39" i="2"/>
  <c r="C43" i="2"/>
  <c r="E49" i="2"/>
  <c r="C33" i="2"/>
  <c r="C37" i="2"/>
  <c r="C45" i="2"/>
  <c r="C34" i="2"/>
  <c r="C38" i="2"/>
  <c r="C42" i="2"/>
  <c r="C46" i="2"/>
  <c r="C31" i="2"/>
  <c r="C47" i="2"/>
  <c r="G5" i="7"/>
  <c r="G33" i="7" s="1"/>
  <c r="D49" i="2"/>
  <c r="C41" i="2"/>
  <c r="V14" i="7"/>
  <c r="L12" i="7"/>
  <c r="C24" i="3" a="1"/>
  <c r="C24" i="3" s="1"/>
  <c r="C23" i="3" a="1"/>
  <c r="C23" i="3" s="1"/>
  <c r="C22" i="3" a="1"/>
  <c r="C22" i="3" s="1"/>
  <c r="C21" i="3" a="1"/>
  <c r="C21" i="3" s="1"/>
  <c r="C13" i="3" a="1"/>
  <c r="C13" i="3" s="1"/>
  <c r="C12" i="3" a="1"/>
  <c r="C12" i="3" s="1"/>
  <c r="C11" i="3" a="1"/>
  <c r="C11" i="3" s="1"/>
  <c r="C10" i="3" a="1"/>
  <c r="C10" i="3" s="1"/>
  <c r="C9" i="3" a="1"/>
  <c r="C9" i="3" s="1"/>
  <c r="C8" i="3" a="1"/>
  <c r="C8" i="3" s="1"/>
  <c r="CL16" i="7"/>
  <c r="CL15" i="7"/>
  <c r="CL14" i="7"/>
  <c r="CL11" i="7"/>
  <c r="CK10" i="7"/>
  <c r="CL12" i="7"/>
  <c r="CL13" i="7"/>
  <c r="CK9" i="7"/>
  <c r="DN16" i="7"/>
  <c r="DN15" i="7"/>
  <c r="DN14" i="7"/>
  <c r="DN13" i="7"/>
  <c r="DN11" i="7"/>
  <c r="DM10" i="7"/>
  <c r="EP16" i="7"/>
  <c r="EP15" i="7"/>
  <c r="EP14" i="7"/>
  <c r="EP11" i="7"/>
  <c r="EO10" i="7"/>
  <c r="EP13" i="7"/>
  <c r="EP12" i="7"/>
  <c r="FR16" i="7"/>
  <c r="FR15" i="7"/>
  <c r="FR14" i="7"/>
  <c r="FR11" i="7"/>
  <c r="FQ10" i="7"/>
  <c r="FR13" i="7"/>
  <c r="GT16" i="7"/>
  <c r="GT14" i="7"/>
  <c r="GT15" i="7"/>
  <c r="GS10" i="7"/>
  <c r="GT13" i="7"/>
  <c r="GT11" i="7"/>
  <c r="GT12" i="7"/>
  <c r="GS9" i="7"/>
  <c r="HV16" i="7"/>
  <c r="HV15" i="7"/>
  <c r="HV14" i="7"/>
  <c r="HU10" i="7"/>
  <c r="HV11" i="7"/>
  <c r="HV13" i="7"/>
  <c r="G4" i="3"/>
  <c r="G3" i="3" s="1"/>
  <c r="D13" i="3" a="1"/>
  <c r="D13" i="3" s="1"/>
  <c r="D12" i="3" a="1"/>
  <c r="D12" i="3" s="1"/>
  <c r="D11" i="3" a="1"/>
  <c r="D11" i="3" s="1"/>
  <c r="D10" i="3" a="1"/>
  <c r="D10" i="3" s="1"/>
  <c r="D24" i="3" a="1"/>
  <c r="D24" i="3" s="1"/>
  <c r="D23" i="3" a="1"/>
  <c r="D23" i="3" s="1"/>
  <c r="D22" i="3" a="1"/>
  <c r="D22" i="3" s="1"/>
  <c r="D21" i="3" a="1"/>
  <c r="D21" i="3" s="1"/>
  <c r="D20" i="3" a="1"/>
  <c r="D20" i="3" s="1"/>
  <c r="D70" i="3" s="1"/>
  <c r="D19" i="3" a="1"/>
  <c r="D19" i="3" s="1"/>
  <c r="E11" i="3" a="1"/>
  <c r="E11" i="3" s="1"/>
  <c r="E21" i="3" a="1"/>
  <c r="E21" i="3" s="1"/>
  <c r="EH9" i="7"/>
  <c r="DN12" i="7"/>
  <c r="HV12" i="7"/>
  <c r="E20" i="3" a="1"/>
  <c r="E20" i="3" s="1"/>
  <c r="F24" i="3" a="1"/>
  <c r="F24" i="3" s="1"/>
  <c r="F23" i="3" a="1"/>
  <c r="F23" i="3" s="1"/>
  <c r="F22" i="3" a="1"/>
  <c r="F22" i="3" s="1"/>
  <c r="F72" i="3" s="1"/>
  <c r="F21" i="3" a="1"/>
  <c r="F21" i="3" s="1"/>
  <c r="F20" i="3" a="1"/>
  <c r="F20" i="3" s="1"/>
  <c r="F19" i="3" a="1"/>
  <c r="F19" i="3" s="1"/>
  <c r="E12" i="3" a="1"/>
  <c r="E12" i="3" s="1"/>
  <c r="E24" i="3" a="1"/>
  <c r="E24" i="3" s="1"/>
  <c r="FQ9" i="7"/>
  <c r="Z14" i="7"/>
  <c r="G5" i="3"/>
  <c r="E9" i="3" a="1"/>
  <c r="E9" i="3" s="1"/>
  <c r="I5" i="3"/>
  <c r="D8" i="3" a="1"/>
  <c r="D8" i="3" s="1"/>
  <c r="F9" i="3" a="1"/>
  <c r="F9" i="3" s="1"/>
  <c r="F13" i="3" a="1"/>
  <c r="F13" i="3" s="1"/>
  <c r="E23" i="3" a="1"/>
  <c r="E23" i="3" s="1"/>
  <c r="Z11" i="7"/>
  <c r="Z15" i="7"/>
  <c r="C25" i="2"/>
  <c r="J5" i="3"/>
  <c r="E32" i="3"/>
  <c r="DG15" i="7"/>
  <c r="DG14" i="7"/>
  <c r="DG13" i="7"/>
  <c r="DG16" i="7"/>
  <c r="DG11" i="7"/>
  <c r="DF10" i="7"/>
  <c r="EI16" i="7"/>
  <c r="EI15" i="7"/>
  <c r="EI14" i="7"/>
  <c r="EI13" i="7"/>
  <c r="EI12" i="7"/>
  <c r="FK16" i="7"/>
  <c r="FK15" i="7"/>
  <c r="FK14" i="7"/>
  <c r="FK13" i="7"/>
  <c r="FK11" i="7"/>
  <c r="FJ10" i="7"/>
  <c r="FJ9" i="7"/>
  <c r="GM15" i="7"/>
  <c r="GM14" i="7"/>
  <c r="GM13" i="7"/>
  <c r="GM12" i="7"/>
  <c r="GM16" i="7"/>
  <c r="GM11" i="7"/>
  <c r="GL9" i="7"/>
  <c r="HO16" i="7"/>
  <c r="HO14" i="7"/>
  <c r="HO13" i="7"/>
  <c r="HO12" i="7"/>
  <c r="HN10" i="7"/>
  <c r="HO11" i="7"/>
  <c r="HO15" i="7"/>
  <c r="HN9" i="7"/>
  <c r="IQ15" i="7"/>
  <c r="IQ14" i="7"/>
  <c r="IQ13" i="7"/>
  <c r="IQ16" i="7"/>
  <c r="IQ12" i="7"/>
  <c r="IP9" i="7"/>
  <c r="IQ11" i="7"/>
  <c r="FR12" i="7"/>
  <c r="E19" i="3" a="1"/>
  <c r="E19" i="3" s="1"/>
  <c r="E13" i="3" a="1"/>
  <c r="E13" i="3" s="1"/>
  <c r="E8" i="3" a="1"/>
  <c r="E8" i="3" s="1"/>
  <c r="E10" i="3" a="1"/>
  <c r="E10" i="3" s="1"/>
  <c r="C19" i="3" a="1"/>
  <c r="C19" i="3" s="1"/>
  <c r="C20" i="3" a="1"/>
  <c r="C20" i="3" s="1"/>
  <c r="HU9" i="7"/>
  <c r="GL10" i="7"/>
  <c r="EA9" i="7"/>
  <c r="CS16" i="7"/>
  <c r="CS12" i="7"/>
  <c r="CS14" i="7"/>
  <c r="DU16" i="7"/>
  <c r="DU14" i="7"/>
  <c r="DU13" i="7"/>
  <c r="DU15" i="7"/>
  <c r="DU12" i="7"/>
  <c r="EW16" i="7"/>
  <c r="EW14" i="7"/>
  <c r="FY16" i="7"/>
  <c r="FY14" i="7"/>
  <c r="FY11" i="7"/>
  <c r="FY15" i="7"/>
  <c r="FY12" i="7"/>
  <c r="HA16" i="7"/>
  <c r="HA15" i="7"/>
  <c r="HA13" i="7"/>
  <c r="HA11" i="7"/>
  <c r="IC16" i="7"/>
  <c r="IC15" i="7"/>
  <c r="IC14" i="7"/>
  <c r="IC11" i="7"/>
  <c r="IC13" i="7"/>
  <c r="EV9" i="7"/>
  <c r="CR10" i="7"/>
  <c r="EV10" i="7"/>
  <c r="GZ10" i="7"/>
  <c r="CS11" i="7"/>
  <c r="EW11" i="7"/>
  <c r="HA14" i="7"/>
  <c r="B15" i="6"/>
  <c r="B13" i="6"/>
  <c r="B11" i="6"/>
  <c r="CV16" i="7"/>
  <c r="CV12" i="7"/>
  <c r="CV14" i="7"/>
  <c r="CV15" i="7"/>
  <c r="CV13" i="7"/>
  <c r="DX16" i="7"/>
  <c r="DX15" i="7"/>
  <c r="DX12" i="7"/>
  <c r="EZ13" i="7"/>
  <c r="EZ12" i="7"/>
  <c r="EZ14" i="7"/>
  <c r="GB16" i="7"/>
  <c r="GB15" i="7"/>
  <c r="HD15" i="7"/>
  <c r="HD16" i="7"/>
  <c r="HD13" i="7"/>
  <c r="HD11" i="7"/>
  <c r="HD14" i="7"/>
  <c r="HD12" i="7"/>
  <c r="IF15" i="7"/>
  <c r="IF16" i="7"/>
  <c r="IF14" i="7"/>
  <c r="IF11" i="7"/>
  <c r="IF13" i="7"/>
  <c r="EY9" i="7"/>
  <c r="CU10" i="7"/>
  <c r="EY10" i="7"/>
  <c r="HC10" i="7"/>
  <c r="CV11" i="7"/>
  <c r="EZ11" i="7"/>
  <c r="FY13" i="7"/>
  <c r="CS15" i="7"/>
  <c r="CZ16" i="7"/>
  <c r="CZ14" i="7"/>
  <c r="CZ15" i="7"/>
  <c r="EB16" i="7"/>
  <c r="EB15" i="7"/>
  <c r="EB12" i="7"/>
  <c r="FD13" i="7"/>
  <c r="FD12" i="7"/>
  <c r="FD14" i="7"/>
  <c r="GF16" i="7"/>
  <c r="GF15" i="7"/>
  <c r="GF12" i="7"/>
  <c r="GF13" i="7"/>
  <c r="HH16" i="7"/>
  <c r="HH15" i="7"/>
  <c r="HH14" i="7"/>
  <c r="IJ15" i="7"/>
  <c r="IJ16" i="7"/>
  <c r="IJ14" i="7"/>
  <c r="IJ11" i="7"/>
  <c r="IJ13" i="7"/>
  <c r="IJ12" i="7"/>
  <c r="FC9" i="7"/>
  <c r="GZ9" i="7"/>
  <c r="CY10" i="7"/>
  <c r="FC10" i="7"/>
  <c r="HG10" i="7"/>
  <c r="CZ11" i="7"/>
  <c r="FD11" i="7"/>
  <c r="HA12" i="7"/>
  <c r="CS13" i="7"/>
  <c r="GB13" i="7"/>
  <c r="EW15" i="7"/>
  <c r="DT9" i="7"/>
  <c r="HC9" i="7"/>
  <c r="EW12" i="7"/>
  <c r="HH12" i="7"/>
  <c r="CZ13" i="7"/>
  <c r="DX14" i="7"/>
  <c r="EZ15" i="7"/>
  <c r="DC15" i="7"/>
  <c r="DC14" i="7"/>
  <c r="DC13" i="7"/>
  <c r="EE16" i="7"/>
  <c r="EE15" i="7"/>
  <c r="EE14" i="7"/>
  <c r="EE13" i="7"/>
  <c r="FG16" i="7"/>
  <c r="FG15" i="7"/>
  <c r="FG14" i="7"/>
  <c r="FG13" i="7"/>
  <c r="GI15" i="7"/>
  <c r="GI14" i="7"/>
  <c r="GI13" i="7"/>
  <c r="HK16" i="7"/>
  <c r="HK14" i="7"/>
  <c r="HK13" i="7"/>
  <c r="IM15" i="7"/>
  <c r="IM14" i="7"/>
  <c r="IM13" i="7"/>
  <c r="DB9" i="7"/>
  <c r="ED9" i="7"/>
  <c r="FF9" i="7"/>
  <c r="GH9" i="7"/>
  <c r="HJ9" i="7"/>
  <c r="IL9" i="7"/>
  <c r="DB10" i="7"/>
  <c r="ED10" i="7"/>
  <c r="FF10" i="7"/>
  <c r="GH10" i="7"/>
  <c r="HJ10" i="7"/>
  <c r="IL10" i="7"/>
  <c r="DC11" i="7"/>
  <c r="EE11" i="7"/>
  <c r="FG11" i="7"/>
  <c r="GI16" i="7"/>
  <c r="DC19" i="7"/>
  <c r="FX26" i="7"/>
  <c r="GA26" i="7" s="1"/>
  <c r="GB19" i="7"/>
  <c r="EA25" i="7"/>
  <c r="ED25" i="7" s="1"/>
  <c r="EE19" i="7"/>
  <c r="FC25" i="7"/>
  <c r="FF25" i="7" s="1"/>
  <c r="FG19" i="7"/>
  <c r="GE25" i="7"/>
  <c r="GH25" i="7" s="1"/>
  <c r="GI19" i="7"/>
  <c r="HG25" i="7"/>
  <c r="HJ25" i="7" s="1"/>
  <c r="HK19" i="7"/>
  <c r="II25" i="7"/>
  <c r="IL25" i="7" s="1"/>
  <c r="IM19" i="7"/>
  <c r="DJ16" i="7"/>
  <c r="DJ15" i="7"/>
  <c r="EL16" i="7"/>
  <c r="EL15" i="7"/>
  <c r="FN16" i="7"/>
  <c r="FN15" i="7"/>
  <c r="GP16" i="7"/>
  <c r="GP15" i="7"/>
  <c r="GP14" i="7"/>
  <c r="HR16" i="7"/>
  <c r="HR15" i="7"/>
  <c r="HR14" i="7"/>
  <c r="IT16" i="7"/>
  <c r="IT15" i="7"/>
  <c r="IT14" i="7"/>
  <c r="DI9" i="7"/>
  <c r="EK9" i="7"/>
  <c r="FM9" i="7"/>
  <c r="GO9" i="7"/>
  <c r="HQ9" i="7"/>
  <c r="IS9" i="7"/>
  <c r="DI10" i="7"/>
  <c r="EK10" i="7"/>
  <c r="FM10" i="7"/>
  <c r="GO10" i="7"/>
  <c r="HQ10" i="7"/>
  <c r="IS10" i="7"/>
  <c r="DJ11" i="7"/>
  <c r="EL11" i="7"/>
  <c r="FN11" i="7"/>
  <c r="HK12" i="7"/>
  <c r="DJ13" i="7"/>
  <c r="GI12" i="7"/>
  <c r="IT12" i="7"/>
  <c r="IT13" i="7"/>
  <c r="DJ14" i="7"/>
  <c r="FN14" i="7"/>
  <c r="DC16" i="7"/>
  <c r="CO15" i="7"/>
  <c r="CO14" i="7"/>
  <c r="CO13" i="7"/>
  <c r="CO12" i="7"/>
  <c r="CO16" i="7"/>
  <c r="DQ15" i="7"/>
  <c r="DQ14" i="7"/>
  <c r="DQ13" i="7"/>
  <c r="DQ12" i="7"/>
  <c r="DQ16" i="7"/>
  <c r="ES15" i="7"/>
  <c r="ES14" i="7"/>
  <c r="ES13" i="7"/>
  <c r="ES12" i="7"/>
  <c r="FU15" i="7"/>
  <c r="FU14" i="7"/>
  <c r="FU13" i="7"/>
  <c r="FU12" i="7"/>
  <c r="FU11" i="7"/>
  <c r="FU16" i="7"/>
  <c r="GW14" i="7"/>
  <c r="GW13" i="7"/>
  <c r="GW12" i="7"/>
  <c r="GW11" i="7"/>
  <c r="GW15" i="7"/>
  <c r="HY16" i="7"/>
  <c r="HY14" i="7"/>
  <c r="HY13" i="7"/>
  <c r="HY12" i="7"/>
  <c r="HY11" i="7"/>
  <c r="HY15" i="7"/>
  <c r="CN9" i="7"/>
  <c r="DP9" i="7"/>
  <c r="ER9" i="7"/>
  <c r="FT9" i="7"/>
  <c r="GV9" i="7"/>
  <c r="HX9" i="7"/>
  <c r="CN10" i="7"/>
  <c r="DP10" i="7"/>
  <c r="ER10" i="7"/>
  <c r="FT10" i="7"/>
  <c r="GV10" i="7"/>
  <c r="HX10" i="7"/>
  <c r="CO11" i="7"/>
  <c r="DQ11" i="7"/>
  <c r="ES11" i="7"/>
  <c r="FG12" i="7"/>
  <c r="HR12" i="7"/>
  <c r="FN13" i="7"/>
  <c r="HK15" i="7"/>
  <c r="GW19" i="7"/>
  <c r="EO25" i="7"/>
  <c r="ER25" i="7" s="1"/>
  <c r="CV19" i="7"/>
  <c r="CR25" i="7"/>
  <c r="CU25" i="7" s="1"/>
  <c r="EZ19" i="7"/>
  <c r="EV25" i="7"/>
  <c r="EY25" i="7" s="1"/>
  <c r="HD19" i="7"/>
  <c r="GZ25" i="7"/>
  <c r="HC25" i="7" s="1"/>
  <c r="IF19" i="7"/>
  <c r="HU25" i="7"/>
  <c r="HX25" i="7" s="1"/>
  <c r="CK25" i="7"/>
  <c r="CN25" i="7" s="1"/>
  <c r="DJ19" i="7"/>
  <c r="FN19" i="7"/>
  <c r="HR19" i="7"/>
  <c r="F54" i="3" l="1"/>
  <c r="F62" i="3"/>
  <c r="D60" i="3"/>
  <c r="D52" i="3"/>
  <c r="F71" i="3"/>
  <c r="AI5" i="7"/>
  <c r="AI33" i="7" s="1"/>
  <c r="J12" i="3"/>
  <c r="BB15" i="7" s="1"/>
  <c r="F73" i="3"/>
  <c r="H9" i="3"/>
  <c r="AN12" i="7" s="1"/>
  <c r="C49" i="2"/>
  <c r="F31" i="3"/>
  <c r="J10" i="3"/>
  <c r="BB13" i="7" s="1"/>
  <c r="J11" i="3"/>
  <c r="BB14" i="7" s="1"/>
  <c r="O16" i="7"/>
  <c r="H24" i="3"/>
  <c r="AQ16" i="7" s="1"/>
  <c r="V13" i="7"/>
  <c r="I21" i="3"/>
  <c r="AX13" i="7" s="1"/>
  <c r="L14" i="7"/>
  <c r="H11" i="3"/>
  <c r="D72" i="3"/>
  <c r="E15" i="7"/>
  <c r="C73" i="3"/>
  <c r="G12" i="3"/>
  <c r="E71" i="3"/>
  <c r="S13" i="7"/>
  <c r="I10" i="3"/>
  <c r="V15" i="7"/>
  <c r="I23" i="3"/>
  <c r="AX15" i="7" s="1"/>
  <c r="J8" i="3"/>
  <c r="F25" i="3"/>
  <c r="F27" i="3" s="1"/>
  <c r="J19" i="3"/>
  <c r="AC11" i="7"/>
  <c r="Z18" i="7" s="1"/>
  <c r="Z22" i="7" s="1"/>
  <c r="AC22" i="7" s="1"/>
  <c r="L4" i="3"/>
  <c r="L3" i="3" s="1"/>
  <c r="N4" i="3"/>
  <c r="N3" i="3" s="1"/>
  <c r="M4" i="3"/>
  <c r="M3" i="3" s="1"/>
  <c r="K4" i="3"/>
  <c r="K3" i="3" s="1"/>
  <c r="O11" i="7"/>
  <c r="D25" i="3"/>
  <c r="D27" i="3" s="1"/>
  <c r="H19" i="3"/>
  <c r="L15" i="7"/>
  <c r="D73" i="3"/>
  <c r="H12" i="3"/>
  <c r="F69" i="3"/>
  <c r="E16" i="7"/>
  <c r="C74" i="3"/>
  <c r="G13" i="3"/>
  <c r="E25" i="3"/>
  <c r="E27" i="3" s="1"/>
  <c r="V11" i="7"/>
  <c r="I19" i="3"/>
  <c r="C25" i="3"/>
  <c r="C27" i="3" s="1"/>
  <c r="G19" i="3"/>
  <c r="H11" i="7"/>
  <c r="S12" i="7"/>
  <c r="I9" i="3"/>
  <c r="E70" i="3"/>
  <c r="Z16" i="7"/>
  <c r="F74" i="3"/>
  <c r="J13" i="3"/>
  <c r="AC12" i="7"/>
  <c r="J20" i="3"/>
  <c r="BE12" i="7" s="1"/>
  <c r="O12" i="7"/>
  <c r="L19" i="7" s="1"/>
  <c r="L23" i="7" s="1"/>
  <c r="O23" i="7" s="1"/>
  <c r="H20" i="3"/>
  <c r="AQ12" i="7" s="1"/>
  <c r="D74" i="3"/>
  <c r="L16" i="7"/>
  <c r="H13" i="3"/>
  <c r="F14" i="3"/>
  <c r="F16" i="3" s="1"/>
  <c r="G21" i="3"/>
  <c r="AJ13" i="7" s="1"/>
  <c r="H13" i="7"/>
  <c r="G20" i="3"/>
  <c r="AJ12" i="7" s="1"/>
  <c r="H12" i="7"/>
  <c r="E14" i="7"/>
  <c r="C72" i="3"/>
  <c r="G11" i="3"/>
  <c r="S15" i="7"/>
  <c r="E73" i="3"/>
  <c r="I12" i="3"/>
  <c r="S11" i="7"/>
  <c r="E69" i="3"/>
  <c r="E31" i="3"/>
  <c r="E33" i="3" s="1"/>
  <c r="E38" i="3" s="1"/>
  <c r="E14" i="3"/>
  <c r="E16" i="3" s="1"/>
  <c r="I8" i="3"/>
  <c r="AC13" i="7"/>
  <c r="Z20" i="7" s="1"/>
  <c r="Z24" i="7" s="1"/>
  <c r="AC24" i="7" s="1"/>
  <c r="J21" i="3"/>
  <c r="BE13" i="7" s="1"/>
  <c r="V12" i="7"/>
  <c r="I20" i="3"/>
  <c r="AX12" i="7" s="1"/>
  <c r="O13" i="7"/>
  <c r="H21" i="3"/>
  <c r="AQ13" i="7" s="1"/>
  <c r="G22" i="3"/>
  <c r="AJ14" i="7" s="1"/>
  <c r="H14" i="7"/>
  <c r="I22" i="3"/>
  <c r="AX14" i="7" s="1"/>
  <c r="E13" i="7"/>
  <c r="C71" i="3"/>
  <c r="G10" i="3"/>
  <c r="V16" i="7"/>
  <c r="I24" i="3"/>
  <c r="AX16" i="7" s="1"/>
  <c r="S14" i="7"/>
  <c r="E72" i="3"/>
  <c r="I11" i="3"/>
  <c r="Z12" i="7"/>
  <c r="F70" i="3"/>
  <c r="J9" i="3"/>
  <c r="AC14" i="7"/>
  <c r="AC18" i="7" s="1"/>
  <c r="J22" i="3"/>
  <c r="BE14" i="7" s="1"/>
  <c r="O14" i="7"/>
  <c r="H22" i="3"/>
  <c r="AQ14" i="7" s="1"/>
  <c r="E11" i="7"/>
  <c r="C31" i="3"/>
  <c r="C33" i="3" s="1"/>
  <c r="C38" i="3" s="1"/>
  <c r="G8" i="3"/>
  <c r="C14" i="3"/>
  <c r="C16" i="3" s="1"/>
  <c r="C69" i="3"/>
  <c r="G23" i="3"/>
  <c r="AJ15" i="7" s="1"/>
  <c r="H15" i="7"/>
  <c r="AC16" i="7"/>
  <c r="J24" i="3"/>
  <c r="BE16" i="7" s="1"/>
  <c r="L13" i="7"/>
  <c r="H10" i="3"/>
  <c r="D71" i="3"/>
  <c r="F32" i="3"/>
  <c r="S16" i="7"/>
  <c r="E74" i="3"/>
  <c r="I13" i="3"/>
  <c r="L11" i="7"/>
  <c r="D31" i="3"/>
  <c r="D33" i="3" s="1"/>
  <c r="D38" i="3" s="1"/>
  <c r="D69" i="3"/>
  <c r="D14" i="3"/>
  <c r="D16" i="3" s="1"/>
  <c r="H8" i="3"/>
  <c r="AC15" i="7"/>
  <c r="AC19" i="7" s="1"/>
  <c r="Z26" i="7" s="1"/>
  <c r="AC26" i="7" s="1"/>
  <c r="J23" i="3"/>
  <c r="BE15" i="7" s="1"/>
  <c r="O15" i="7"/>
  <c r="H23" i="3"/>
  <c r="AQ15" i="7" s="1"/>
  <c r="E12" i="7"/>
  <c r="C70" i="3"/>
  <c r="G9" i="3"/>
  <c r="H16" i="7"/>
  <c r="G24" i="3"/>
  <c r="AJ16" i="7" s="1"/>
  <c r="D56" i="3" l="1"/>
  <c r="D64" i="3"/>
  <c r="E52" i="3"/>
  <c r="E60" i="3"/>
  <c r="C51" i="3"/>
  <c r="C59" i="3"/>
  <c r="E51" i="3"/>
  <c r="E59" i="3"/>
  <c r="C55" i="3"/>
  <c r="C63" i="3"/>
  <c r="C54" i="3"/>
  <c r="C62" i="3"/>
  <c r="F63" i="3"/>
  <c r="F55" i="3"/>
  <c r="D61" i="3"/>
  <c r="D53" i="3"/>
  <c r="F52" i="3"/>
  <c r="F60" i="3"/>
  <c r="D62" i="3"/>
  <c r="D54" i="3"/>
  <c r="E56" i="3"/>
  <c r="E64" i="3"/>
  <c r="E61" i="3"/>
  <c r="E53" i="3"/>
  <c r="C64" i="3"/>
  <c r="C56" i="3"/>
  <c r="F53" i="3"/>
  <c r="F61" i="3"/>
  <c r="C52" i="3"/>
  <c r="C60" i="3"/>
  <c r="D51" i="3"/>
  <c r="D59" i="3"/>
  <c r="C53" i="3"/>
  <c r="C61" i="3"/>
  <c r="E55" i="3"/>
  <c r="E63" i="3"/>
  <c r="F59" i="3"/>
  <c r="F51" i="3"/>
  <c r="E54" i="3"/>
  <c r="E62" i="3"/>
  <c r="F56" i="3"/>
  <c r="F64" i="3"/>
  <c r="D55" i="3"/>
  <c r="D63" i="3"/>
  <c r="BK5" i="7"/>
  <c r="BK33" i="7" s="1"/>
  <c r="BY5" i="7"/>
  <c r="BY33" i="7" s="1"/>
  <c r="CF5" i="7"/>
  <c r="CF33" i="7" s="1"/>
  <c r="BR5" i="7"/>
  <c r="BR33" i="7" s="1"/>
  <c r="Z8" i="7"/>
  <c r="AA15" i="7" s="1"/>
  <c r="U28" i="7"/>
  <c r="Z10" i="7"/>
  <c r="AG12" i="7"/>
  <c r="G70" i="3"/>
  <c r="L18" i="7"/>
  <c r="L22" i="7" s="1"/>
  <c r="O22" i="7" s="1"/>
  <c r="L8" i="7"/>
  <c r="M16" i="7" s="1"/>
  <c r="F33" i="3"/>
  <c r="F38" i="3" s="1"/>
  <c r="G32" i="3"/>
  <c r="AU14" i="7"/>
  <c r="I72" i="3"/>
  <c r="BE18" i="7"/>
  <c r="AU15" i="7"/>
  <c r="I73" i="3"/>
  <c r="AU12" i="7"/>
  <c r="I70" i="3"/>
  <c r="H8" i="7"/>
  <c r="I13" i="7" s="1"/>
  <c r="K5" i="3"/>
  <c r="K8" i="3" s="1"/>
  <c r="N5" i="3"/>
  <c r="M5" i="3"/>
  <c r="L5" i="3"/>
  <c r="J71" i="3"/>
  <c r="BB20" i="7"/>
  <c r="BB24" i="7" s="1"/>
  <c r="BE24" i="7" s="1"/>
  <c r="AA11" i="7"/>
  <c r="AG13" i="7"/>
  <c r="G71" i="3"/>
  <c r="H73" i="3"/>
  <c r="AN15" i="7"/>
  <c r="AA14" i="7"/>
  <c r="AG11" i="7"/>
  <c r="G69" i="3"/>
  <c r="G31" i="3"/>
  <c r="G14" i="3"/>
  <c r="G16" i="3" s="1"/>
  <c r="J72" i="3"/>
  <c r="AJ11" i="7"/>
  <c r="G25" i="3"/>
  <c r="G27" i="3" s="1"/>
  <c r="AG16" i="7"/>
  <c r="G74" i="3"/>
  <c r="O19" i="7"/>
  <c r="L26" i="7" s="1"/>
  <c r="O26" i="7" s="1"/>
  <c r="AG15" i="7"/>
  <c r="G73" i="3"/>
  <c r="H72" i="3"/>
  <c r="AN14" i="7"/>
  <c r="L20" i="7"/>
  <c r="L24" i="7" s="1"/>
  <c r="O24" i="7" s="1"/>
  <c r="J69" i="3"/>
  <c r="J31" i="3"/>
  <c r="J14" i="3"/>
  <c r="J16" i="3" s="1"/>
  <c r="BB11" i="7"/>
  <c r="E19" i="7"/>
  <c r="E23" i="7" s="1"/>
  <c r="H23" i="7" s="1"/>
  <c r="AU11" i="7"/>
  <c r="I14" i="3"/>
  <c r="I16" i="3" s="1"/>
  <c r="I31" i="3"/>
  <c r="I69" i="3"/>
  <c r="S19" i="7"/>
  <c r="S23" i="7" s="1"/>
  <c r="V23" i="7" s="1"/>
  <c r="F28" i="3"/>
  <c r="AQ11" i="7"/>
  <c r="H25" i="3"/>
  <c r="H27" i="3" s="1"/>
  <c r="O18" i="7"/>
  <c r="S20" i="7"/>
  <c r="S24" i="7" s="1"/>
  <c r="V24" i="7" s="1"/>
  <c r="AN13" i="7"/>
  <c r="H71" i="3"/>
  <c r="AC20" i="7"/>
  <c r="Z27" i="7" s="1"/>
  <c r="AC27" i="7" s="1"/>
  <c r="AA16" i="7"/>
  <c r="N28" i="7"/>
  <c r="H18" i="7"/>
  <c r="G28" i="7"/>
  <c r="E18" i="7"/>
  <c r="E22" i="7" s="1"/>
  <c r="H22" i="7" s="1"/>
  <c r="E8" i="7"/>
  <c r="F12" i="7" s="1"/>
  <c r="V18" i="7"/>
  <c r="V19" i="7"/>
  <c r="S26" i="7" s="1"/>
  <c r="V26" i="7" s="1"/>
  <c r="O20" i="7"/>
  <c r="L27" i="7" s="1"/>
  <c r="O27" i="7" s="1"/>
  <c r="AN19" i="7"/>
  <c r="AN23" i="7" s="1"/>
  <c r="AQ23" i="7" s="1"/>
  <c r="I25" i="3"/>
  <c r="I27" i="3" s="1"/>
  <c r="AX11" i="7"/>
  <c r="AC8" i="7"/>
  <c r="AD12" i="7" s="1"/>
  <c r="AU13" i="7"/>
  <c r="I71" i="3"/>
  <c r="J73" i="3"/>
  <c r="O8" i="7"/>
  <c r="F17" i="3"/>
  <c r="Z19" i="7"/>
  <c r="Z23" i="7" s="1"/>
  <c r="AC23" i="7" s="1"/>
  <c r="AA12" i="7"/>
  <c r="S18" i="7"/>
  <c r="S22" i="7" s="1"/>
  <c r="V22" i="7" s="1"/>
  <c r="S8" i="7"/>
  <c r="T11" i="7" s="1"/>
  <c r="Z25" i="7"/>
  <c r="AC25" i="7" s="1"/>
  <c r="AD19" i="7"/>
  <c r="AU16" i="7"/>
  <c r="I74" i="3"/>
  <c r="AA13" i="7"/>
  <c r="E20" i="7"/>
  <c r="E24" i="7" s="1"/>
  <c r="H24" i="7" s="1"/>
  <c r="AN16" i="7"/>
  <c r="H74" i="3"/>
  <c r="H69" i="3"/>
  <c r="AN11" i="7"/>
  <c r="H31" i="3"/>
  <c r="H14" i="3"/>
  <c r="H16" i="3" s="1"/>
  <c r="V20" i="7"/>
  <c r="S27" i="7" s="1"/>
  <c r="V27" i="7" s="1"/>
  <c r="J70" i="3"/>
  <c r="BB12" i="7"/>
  <c r="AG14" i="7"/>
  <c r="G72" i="3"/>
  <c r="J74" i="3"/>
  <c r="BB16" i="7"/>
  <c r="H70" i="3"/>
  <c r="V8" i="7"/>
  <c r="W13" i="7" s="1"/>
  <c r="H20" i="7"/>
  <c r="E27" i="7" s="1"/>
  <c r="H27" i="7" s="1"/>
  <c r="J25" i="3"/>
  <c r="J27" i="3" s="1"/>
  <c r="BE11" i="7"/>
  <c r="H19" i="7"/>
  <c r="E26" i="7" s="1"/>
  <c r="H26" i="7" s="1"/>
  <c r="BE19" i="7"/>
  <c r="BB26" i="7" s="1"/>
  <c r="BE26" i="7" s="1"/>
  <c r="Z9" i="7" l="1"/>
  <c r="J52" i="3"/>
  <c r="J60" i="3"/>
  <c r="J56" i="3"/>
  <c r="J64" i="3"/>
  <c r="J63" i="3"/>
  <c r="J55" i="3"/>
  <c r="G64" i="3"/>
  <c r="G56" i="3"/>
  <c r="I55" i="3"/>
  <c r="I63" i="3"/>
  <c r="G54" i="3"/>
  <c r="G62" i="3"/>
  <c r="H51" i="3"/>
  <c r="H59" i="3"/>
  <c r="I61" i="3"/>
  <c r="I53" i="3"/>
  <c r="H61" i="3"/>
  <c r="H53" i="3"/>
  <c r="I59" i="3"/>
  <c r="I51" i="3"/>
  <c r="J59" i="3"/>
  <c r="J51" i="3"/>
  <c r="G52" i="3"/>
  <c r="G60" i="3"/>
  <c r="H64" i="3"/>
  <c r="H56" i="3"/>
  <c r="H55" i="3"/>
  <c r="H63" i="3"/>
  <c r="I54" i="3"/>
  <c r="I62" i="3"/>
  <c r="J54" i="3"/>
  <c r="J62" i="3"/>
  <c r="G63" i="3"/>
  <c r="G55" i="3"/>
  <c r="H52" i="3"/>
  <c r="H60" i="3"/>
  <c r="I56" i="3"/>
  <c r="I64" i="3"/>
  <c r="I60" i="3"/>
  <c r="I52" i="3"/>
  <c r="G59" i="3"/>
  <c r="G51" i="3"/>
  <c r="H54" i="3"/>
  <c r="H62" i="3"/>
  <c r="J53" i="3"/>
  <c r="J61" i="3"/>
  <c r="G53" i="3"/>
  <c r="G61" i="3"/>
  <c r="I15" i="7"/>
  <c r="I14" i="7"/>
  <c r="I11" i="7"/>
  <c r="I12" i="7"/>
  <c r="F29" i="3"/>
  <c r="M14" i="7"/>
  <c r="M13" i="7"/>
  <c r="AD13" i="7"/>
  <c r="AD11" i="7"/>
  <c r="AD16" i="7"/>
  <c r="F15" i="7"/>
  <c r="F13" i="7"/>
  <c r="F16" i="7"/>
  <c r="F14" i="7"/>
  <c r="AJ18" i="7"/>
  <c r="O9" i="7"/>
  <c r="O10" i="7"/>
  <c r="AG18" i="7"/>
  <c r="AG22" i="7" s="1"/>
  <c r="AJ22" i="7" s="1"/>
  <c r="AG8" i="7"/>
  <c r="BE8" i="7"/>
  <c r="BF11" i="7" s="1"/>
  <c r="AU20" i="7"/>
  <c r="AU24" i="7" s="1"/>
  <c r="AX24" i="7" s="1"/>
  <c r="S25" i="7"/>
  <c r="V25" i="7" s="1"/>
  <c r="W19" i="7"/>
  <c r="P14" i="7"/>
  <c r="W15" i="7"/>
  <c r="BB18" i="7"/>
  <c r="BB22" i="7" s="1"/>
  <c r="BE22" i="7" s="1"/>
  <c r="BB8" i="7"/>
  <c r="BC16" i="7" s="1"/>
  <c r="M15" i="7"/>
  <c r="AQ19" i="7"/>
  <c r="AN26" i="7" s="1"/>
  <c r="AQ26" i="7" s="1"/>
  <c r="BB25" i="7"/>
  <c r="BE25" i="7" s="1"/>
  <c r="BF19" i="7"/>
  <c r="M11" i="7"/>
  <c r="AJ8" i="7"/>
  <c r="AK11" i="7" s="1"/>
  <c r="G33" i="3"/>
  <c r="G38" i="3" s="1"/>
  <c r="H32" i="3"/>
  <c r="W12" i="7"/>
  <c r="P16" i="7"/>
  <c r="W16" i="7"/>
  <c r="AC10" i="7"/>
  <c r="AC9" i="7"/>
  <c r="E10" i="7"/>
  <c r="DM9" i="7"/>
  <c r="DF9" i="7"/>
  <c r="CR9" i="7"/>
  <c r="E9" i="7"/>
  <c r="H10" i="7"/>
  <c r="H9" i="7"/>
  <c r="S9" i="7"/>
  <c r="S10" i="7"/>
  <c r="F11" i="7"/>
  <c r="AN20" i="7"/>
  <c r="AN24" i="7" s="1"/>
  <c r="AQ24" i="7" s="1"/>
  <c r="AQ8" i="7"/>
  <c r="AD14" i="7"/>
  <c r="P12" i="7"/>
  <c r="AD15" i="7"/>
  <c r="P15" i="7"/>
  <c r="AX8" i="7"/>
  <c r="AX19" i="7"/>
  <c r="AU26" i="7" s="1"/>
  <c r="AX26" i="7" s="1"/>
  <c r="BE20" i="7"/>
  <c r="BB27" i="7" s="1"/>
  <c r="BE27" i="7" s="1"/>
  <c r="L25" i="7"/>
  <c r="O25" i="7" s="1"/>
  <c r="P19" i="7"/>
  <c r="P13" i="7"/>
  <c r="L10" i="7"/>
  <c r="L9" i="7"/>
  <c r="M12" i="7"/>
  <c r="AX20" i="7"/>
  <c r="AU27" i="7" s="1"/>
  <c r="AX27" i="7" s="1"/>
  <c r="T16" i="7"/>
  <c r="AQ20" i="7"/>
  <c r="AN27" i="7" s="1"/>
  <c r="AQ27" i="7" s="1"/>
  <c r="AU18" i="7"/>
  <c r="AU22" i="7" s="1"/>
  <c r="AX22" i="7" s="1"/>
  <c r="AU8" i="7"/>
  <c r="AV13" i="7" s="1"/>
  <c r="I16" i="7"/>
  <c r="AJ20" i="7"/>
  <c r="AG27" i="7" s="1"/>
  <c r="AJ27" i="7" s="1"/>
  <c r="J17" i="3"/>
  <c r="AU19" i="7"/>
  <c r="AU23" i="7" s="1"/>
  <c r="AX23" i="7" s="1"/>
  <c r="AX18" i="7"/>
  <c r="V10" i="7"/>
  <c r="V9" i="7"/>
  <c r="W14" i="7"/>
  <c r="L9" i="3"/>
  <c r="M22" i="3"/>
  <c r="BZ14" i="7" s="1"/>
  <c r="N10" i="3"/>
  <c r="N12" i="3"/>
  <c r="N8" i="3"/>
  <c r="N11" i="3"/>
  <c r="M21" i="3"/>
  <c r="BZ13" i="7" s="1"/>
  <c r="M10" i="3"/>
  <c r="K22" i="3"/>
  <c r="BL14" i="7" s="1"/>
  <c r="L22" i="3"/>
  <c r="BS14" i="7" s="1"/>
  <c r="L10" i="3"/>
  <c r="K24" i="3"/>
  <c r="BL16" i="7" s="1"/>
  <c r="K19" i="3"/>
  <c r="L24" i="3"/>
  <c r="BS16" i="7" s="1"/>
  <c r="K21" i="3"/>
  <c r="BL13" i="7" s="1"/>
  <c r="L19" i="3"/>
  <c r="N13" i="3"/>
  <c r="M8" i="3"/>
  <c r="M20" i="3"/>
  <c r="BZ12" i="7" s="1"/>
  <c r="K23" i="3"/>
  <c r="BL15" i="7" s="1"/>
  <c r="L8" i="3"/>
  <c r="L23" i="3"/>
  <c r="BS15" i="7" s="1"/>
  <c r="L21" i="3"/>
  <c r="BS13" i="7" s="1"/>
  <c r="N19" i="3"/>
  <c r="L12" i="3"/>
  <c r="L20" i="3"/>
  <c r="BS12" i="7" s="1"/>
  <c r="N21" i="3"/>
  <c r="CG13" i="7" s="1"/>
  <c r="K12" i="3"/>
  <c r="K13" i="3"/>
  <c r="K20" i="3"/>
  <c r="BL12" i="7" s="1"/>
  <c r="K9" i="3"/>
  <c r="K11" i="3"/>
  <c r="N9" i="3"/>
  <c r="M23" i="3"/>
  <c r="BZ15" i="7" s="1"/>
  <c r="M9" i="3"/>
  <c r="N20" i="3"/>
  <c r="CG12" i="7" s="1"/>
  <c r="L13" i="3"/>
  <c r="M12" i="3"/>
  <c r="M11" i="3"/>
  <c r="N24" i="3"/>
  <c r="CG16" i="7" s="1"/>
  <c r="M13" i="3"/>
  <c r="L11" i="3"/>
  <c r="N23" i="3"/>
  <c r="CG15" i="7" s="1"/>
  <c r="M19" i="3"/>
  <c r="M24" i="3"/>
  <c r="BZ16" i="7" s="1"/>
  <c r="K10" i="3"/>
  <c r="N22" i="3"/>
  <c r="CG14" i="7" s="1"/>
  <c r="AB28" i="7"/>
  <c r="AN18" i="7"/>
  <c r="AN22" i="7" s="1"/>
  <c r="AQ22" i="7" s="1"/>
  <c r="AN8" i="7"/>
  <c r="AO16" i="7" s="1"/>
  <c r="P11" i="7"/>
  <c r="T14" i="7"/>
  <c r="AJ19" i="7"/>
  <c r="AG26" i="7" s="1"/>
  <c r="AJ26" i="7" s="1"/>
  <c r="BB19" i="7"/>
  <c r="BB23" i="7" s="1"/>
  <c r="BE23" i="7" s="1"/>
  <c r="W11" i="7"/>
  <c r="T15" i="7"/>
  <c r="I19" i="7"/>
  <c r="E25" i="7"/>
  <c r="H25" i="7" s="1"/>
  <c r="T13" i="7"/>
  <c r="T12" i="7"/>
  <c r="AQ18" i="7"/>
  <c r="J28" i="3"/>
  <c r="AG20" i="7"/>
  <c r="AG24" i="7" s="1"/>
  <c r="AJ24" i="7" s="1"/>
  <c r="AG19" i="7"/>
  <c r="AG23" i="7" s="1"/>
  <c r="AJ23" i="7" s="1"/>
  <c r="AV12" i="7" l="1"/>
  <c r="J29" i="3"/>
  <c r="AV11" i="7"/>
  <c r="AO14" i="7"/>
  <c r="AV15" i="7"/>
  <c r="BC12" i="7"/>
  <c r="AO15" i="7"/>
  <c r="AV14" i="7"/>
  <c r="AO11" i="7"/>
  <c r="BZ11" i="7"/>
  <c r="M25" i="3"/>
  <c r="M27" i="3" s="1"/>
  <c r="BI15" i="7"/>
  <c r="K73" i="3"/>
  <c r="CD15" i="7"/>
  <c r="N73" i="3"/>
  <c r="L71" i="3"/>
  <c r="BP13" i="7"/>
  <c r="AG10" i="7"/>
  <c r="AG9" i="7"/>
  <c r="BP14" i="7"/>
  <c r="L72" i="3"/>
  <c r="I32" i="3"/>
  <c r="H33" i="3"/>
  <c r="H38" i="3" s="1"/>
  <c r="BW16" i="7"/>
  <c r="M74" i="3"/>
  <c r="N70" i="3"/>
  <c r="CD12" i="7"/>
  <c r="BP15" i="7"/>
  <c r="L73" i="3"/>
  <c r="CD16" i="7"/>
  <c r="N74" i="3"/>
  <c r="L70" i="3"/>
  <c r="BP12" i="7"/>
  <c r="AU25" i="7"/>
  <c r="AX25" i="7" s="1"/>
  <c r="AY19" i="7"/>
  <c r="AH16" i="7"/>
  <c r="AQ10" i="7"/>
  <c r="AQ9" i="7"/>
  <c r="AR16" i="7"/>
  <c r="AR12" i="7"/>
  <c r="AR13" i="7"/>
  <c r="AR15" i="7"/>
  <c r="AR14" i="7"/>
  <c r="AI28" i="7"/>
  <c r="BI11" i="7"/>
  <c r="K31" i="3"/>
  <c r="K14" i="3"/>
  <c r="K16" i="3" s="1"/>
  <c r="K69" i="3"/>
  <c r="BI14" i="7"/>
  <c r="K72" i="3"/>
  <c r="N25" i="3"/>
  <c r="N27" i="3" s="1"/>
  <c r="CG11" i="7"/>
  <c r="BS11" i="7"/>
  <c r="L25" i="3"/>
  <c r="L27" i="3" s="1"/>
  <c r="M71" i="3"/>
  <c r="BW13" i="7"/>
  <c r="AR11" i="7"/>
  <c r="BB10" i="7"/>
  <c r="BB9" i="7"/>
  <c r="BC15" i="7"/>
  <c r="BC13" i="7"/>
  <c r="BC14" i="7"/>
  <c r="AH11" i="7"/>
  <c r="AN25" i="7"/>
  <c r="AQ25" i="7" s="1"/>
  <c r="AR19" i="7"/>
  <c r="AN10" i="7"/>
  <c r="AN9" i="7"/>
  <c r="AO12" i="7"/>
  <c r="BW14" i="7"/>
  <c r="M72" i="3"/>
  <c r="BI12" i="7"/>
  <c r="K70" i="3"/>
  <c r="AO13" i="7"/>
  <c r="AJ10" i="7"/>
  <c r="AJ9" i="7"/>
  <c r="AK13" i="7"/>
  <c r="AK16" i="7"/>
  <c r="AK12" i="7"/>
  <c r="AK14" i="7"/>
  <c r="AK15" i="7"/>
  <c r="BC11" i="7"/>
  <c r="AX10" i="7"/>
  <c r="AX9" i="7"/>
  <c r="AY12" i="7"/>
  <c r="AY13" i="7"/>
  <c r="AY14" i="7"/>
  <c r="AY15" i="7"/>
  <c r="AY16" i="7"/>
  <c r="CD13" i="7"/>
  <c r="N71" i="3"/>
  <c r="AH15" i="7"/>
  <c r="AK19" i="7"/>
  <c r="AG25" i="7"/>
  <c r="AJ25" i="7" s="1"/>
  <c r="BW12" i="7"/>
  <c r="M70" i="3"/>
  <c r="AH13" i="7"/>
  <c r="BW11" i="7"/>
  <c r="M69" i="3"/>
  <c r="M31" i="3"/>
  <c r="M14" i="3"/>
  <c r="M16" i="3" s="1"/>
  <c r="BI13" i="7"/>
  <c r="K71" i="3"/>
  <c r="BW15" i="7"/>
  <c r="M73" i="3"/>
  <c r="N72" i="3"/>
  <c r="CD14" i="7"/>
  <c r="AH12" i="7"/>
  <c r="BP16" i="7"/>
  <c r="L74" i="3"/>
  <c r="BI16" i="7"/>
  <c r="K74" i="3"/>
  <c r="BP11" i="7"/>
  <c r="L31" i="3"/>
  <c r="L14" i="3"/>
  <c r="L16" i="3" s="1"/>
  <c r="L69" i="3"/>
  <c r="K25" i="3"/>
  <c r="K27" i="3" s="1"/>
  <c r="BL11" i="7"/>
  <c r="N31" i="3"/>
  <c r="N14" i="3"/>
  <c r="N16" i="3" s="1"/>
  <c r="N69" i="3"/>
  <c r="CD11" i="7"/>
  <c r="AU10" i="7"/>
  <c r="AU9" i="7"/>
  <c r="AV16" i="7"/>
  <c r="AY11" i="7"/>
  <c r="BE10" i="7"/>
  <c r="BE9" i="7"/>
  <c r="BF16" i="7"/>
  <c r="BF12" i="7"/>
  <c r="BF15" i="7"/>
  <c r="BF14" i="7"/>
  <c r="BF13" i="7"/>
  <c r="AH14" i="7"/>
  <c r="M55" i="3" l="1"/>
  <c r="M63" i="3"/>
  <c r="L61" i="3"/>
  <c r="L53" i="3"/>
  <c r="M52" i="3"/>
  <c r="M60" i="3"/>
  <c r="M61" i="3"/>
  <c r="M53" i="3"/>
  <c r="N56" i="3"/>
  <c r="N64" i="3"/>
  <c r="K53" i="3"/>
  <c r="K61" i="3"/>
  <c r="M54" i="3"/>
  <c r="M62" i="3"/>
  <c r="L64" i="3"/>
  <c r="L56" i="3"/>
  <c r="L55" i="3"/>
  <c r="L63" i="3"/>
  <c r="L54" i="3"/>
  <c r="L62" i="3"/>
  <c r="K55" i="3"/>
  <c r="K63" i="3"/>
  <c r="K59" i="3"/>
  <c r="K51" i="3"/>
  <c r="K64" i="3"/>
  <c r="K56" i="3"/>
  <c r="L51" i="3"/>
  <c r="L59" i="3"/>
  <c r="L52" i="3"/>
  <c r="L60" i="3"/>
  <c r="M51" i="3"/>
  <c r="M59" i="3"/>
  <c r="K54" i="3"/>
  <c r="K62" i="3"/>
  <c r="N60" i="3"/>
  <c r="N52" i="3"/>
  <c r="N51" i="3"/>
  <c r="N59" i="3"/>
  <c r="K52" i="3"/>
  <c r="K60" i="3"/>
  <c r="N63" i="3"/>
  <c r="N55" i="3"/>
  <c r="N53" i="3"/>
  <c r="N61" i="3"/>
  <c r="N62" i="3"/>
  <c r="N54" i="3"/>
  <c r="M56" i="3"/>
  <c r="M64" i="3"/>
  <c r="BL8" i="7"/>
  <c r="BZ19" i="7"/>
  <c r="BW26" i="7" s="1"/>
  <c r="BZ26" i="7" s="1"/>
  <c r="CD20" i="7"/>
  <c r="CD24" i="7" s="1"/>
  <c r="CG24" i="7" s="1"/>
  <c r="BL18" i="7"/>
  <c r="J32" i="3"/>
  <c r="I33" i="3"/>
  <c r="I38" i="3" s="1"/>
  <c r="BI20" i="7"/>
  <c r="BI24" i="7" s="1"/>
  <c r="BL24" i="7" s="1"/>
  <c r="BZ18" i="7"/>
  <c r="BW20" i="7"/>
  <c r="BW24" i="7" s="1"/>
  <c r="BZ24" i="7" s="1"/>
  <c r="CD18" i="7"/>
  <c r="CD22" i="7" s="1"/>
  <c r="CG22" i="7" s="1"/>
  <c r="CD8" i="7"/>
  <c r="CE14" i="7" s="1"/>
  <c r="CG18" i="7"/>
  <c r="BS19" i="7"/>
  <c r="BP26" i="7" s="1"/>
  <c r="BS26" i="7" s="1"/>
  <c r="CG19" i="7"/>
  <c r="CD26" i="7" s="1"/>
  <c r="CG26" i="7" s="1"/>
  <c r="BS20" i="7"/>
  <c r="BP27" i="7" s="1"/>
  <c r="BS27" i="7" s="1"/>
  <c r="BI19" i="7"/>
  <c r="BI23" i="7" s="1"/>
  <c r="BL23" i="7" s="1"/>
  <c r="BP18" i="7"/>
  <c r="BP22" i="7" s="1"/>
  <c r="BS22" i="7" s="1"/>
  <c r="BP8" i="7"/>
  <c r="BQ13" i="7" s="1"/>
  <c r="N17" i="3"/>
  <c r="CD19" i="7"/>
  <c r="CD23" i="7" s="1"/>
  <c r="CG23" i="7" s="1"/>
  <c r="BS18" i="7"/>
  <c r="AP28" i="7"/>
  <c r="BW19" i="7"/>
  <c r="BW23" i="7" s="1"/>
  <c r="BZ23" i="7" s="1"/>
  <c r="CG20" i="7"/>
  <c r="CD27" i="7" s="1"/>
  <c r="CG27" i="7" s="1"/>
  <c r="BS8" i="7"/>
  <c r="BP19" i="7"/>
  <c r="BP23" i="7" s="1"/>
  <c r="BS23" i="7" s="1"/>
  <c r="BL19" i="7"/>
  <c r="BI26" i="7" s="1"/>
  <c r="BL26" i="7" s="1"/>
  <c r="N28" i="3"/>
  <c r="BL20" i="7"/>
  <c r="BI27" i="7" s="1"/>
  <c r="BL27" i="7" s="1"/>
  <c r="BW18" i="7"/>
  <c r="BW22" i="7" s="1"/>
  <c r="BZ22" i="7" s="1"/>
  <c r="BW8" i="7"/>
  <c r="BX15" i="7" s="1"/>
  <c r="CG8" i="7"/>
  <c r="BI18" i="7"/>
  <c r="BI22" i="7" s="1"/>
  <c r="BL22" i="7" s="1"/>
  <c r="BI8" i="7"/>
  <c r="BJ14" i="7" s="1"/>
  <c r="BZ20" i="7"/>
  <c r="BW27" i="7" s="1"/>
  <c r="BZ27" i="7" s="1"/>
  <c r="BP20" i="7"/>
  <c r="BP24" i="7" s="1"/>
  <c r="BS24" i="7" s="1"/>
  <c r="BZ8" i="7"/>
  <c r="BX11" i="7" l="1"/>
  <c r="BQ12" i="7"/>
  <c r="BJ16" i="7"/>
  <c r="BJ12" i="7"/>
  <c r="BJ11" i="7"/>
  <c r="BJ15" i="7"/>
  <c r="BQ16" i="7"/>
  <c r="BJ13" i="7"/>
  <c r="CG10" i="7"/>
  <c r="CG9" i="7"/>
  <c r="CH12" i="7"/>
  <c r="CH13" i="7"/>
  <c r="CH15" i="7"/>
  <c r="CH14" i="7"/>
  <c r="CH16" i="7"/>
  <c r="BS9" i="7"/>
  <c r="BS10" i="7"/>
  <c r="BT13" i="7"/>
  <c r="BT14" i="7"/>
  <c r="BT16" i="7"/>
  <c r="BT15" i="7"/>
  <c r="BT12" i="7"/>
  <c r="BZ10" i="7"/>
  <c r="BZ9" i="7"/>
  <c r="CA13" i="7"/>
  <c r="CA15" i="7"/>
  <c r="CA14" i="7"/>
  <c r="CA12" i="7"/>
  <c r="CA16" i="7"/>
  <c r="CE12" i="7"/>
  <c r="CE15" i="7"/>
  <c r="BL10" i="7"/>
  <c r="BL9" i="7"/>
  <c r="BM14" i="7"/>
  <c r="BM12" i="7"/>
  <c r="BM13" i="7"/>
  <c r="BM16" i="7"/>
  <c r="BM15" i="7"/>
  <c r="BI10" i="7"/>
  <c r="BI9" i="7"/>
  <c r="AW28" i="7"/>
  <c r="CE16" i="7"/>
  <c r="N29" i="3"/>
  <c r="K32" i="3"/>
  <c r="J33" i="3"/>
  <c r="J38" i="3" s="1"/>
  <c r="BX16" i="7"/>
  <c r="CD25" i="7"/>
  <c r="CG25" i="7" s="1"/>
  <c r="CH19" i="7"/>
  <c r="BX13" i="7"/>
  <c r="BM19" i="7"/>
  <c r="BI25" i="7"/>
  <c r="BL25" i="7" s="1"/>
  <c r="CD10" i="7"/>
  <c r="CD9" i="7"/>
  <c r="CH11" i="7"/>
  <c r="BT11" i="7"/>
  <c r="BP9" i="7"/>
  <c r="BP10" i="7"/>
  <c r="BQ15" i="7"/>
  <c r="CE11" i="7"/>
  <c r="BW25" i="7"/>
  <c r="BZ25" i="7" s="1"/>
  <c r="CA19" i="7"/>
  <c r="CE13" i="7"/>
  <c r="BW9" i="7"/>
  <c r="BW10" i="7"/>
  <c r="BX12" i="7"/>
  <c r="BQ14" i="7"/>
  <c r="BQ11" i="7"/>
  <c r="BX14" i="7"/>
  <c r="CA11" i="7"/>
  <c r="BP25" i="7"/>
  <c r="BS25" i="7" s="1"/>
  <c r="BT19" i="7"/>
  <c r="BM11" i="7"/>
  <c r="BD28" i="7" l="1"/>
  <c r="K33" i="3"/>
  <c r="K38" i="3" s="1"/>
  <c r="L32" i="3"/>
  <c r="BK28" i="7" l="1"/>
  <c r="L33" i="3"/>
  <c r="L38" i="3" s="1"/>
  <c r="M32" i="3"/>
  <c r="M33" i="3" l="1"/>
  <c r="M38" i="3" s="1"/>
  <c r="N32" i="3"/>
  <c r="N33" i="3" s="1"/>
  <c r="N38" i="3" s="1"/>
  <c r="BR28" i="7"/>
  <c r="CF28" i="7" l="1"/>
  <c r="BY28" i="7"/>
</calcChain>
</file>

<file path=xl/comments1.xml><?xml version="1.0" encoding="utf-8"?>
<comments xmlns="http://schemas.openxmlformats.org/spreadsheetml/2006/main">
  <authors>
    <author/>
  </authors>
  <commentList>
    <comment ref="A37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IRONS Neale M:
</t>
        </r>
        <r>
          <rPr>
            <sz val="8"/>
            <color rgb="FF000000"/>
            <rFont val="Tahoma"/>
            <family val="2"/>
            <charset val="1"/>
          </rPr>
          <t>Value depends on road length.</t>
        </r>
      </text>
    </comment>
  </commentList>
</comments>
</file>

<file path=xl/sharedStrings.xml><?xml version="1.0" encoding="utf-8"?>
<sst xmlns="http://schemas.openxmlformats.org/spreadsheetml/2006/main" count="2327" uniqueCount="277">
  <si>
    <t>Calculate TRARR Traffic Volumes from Class by Hour Traffic Survey</t>
  </si>
  <si>
    <t>Step</t>
  </si>
  <si>
    <t>Instruction</t>
  </si>
  <si>
    <t>Verify total daily traffic volumes against matrix with growth factor in Row 5 of 100%.</t>
  </si>
  <si>
    <t>Enter Year, Factor and Growth into Row 5. Survey can be adjusted by a factor to represent section to be modelled.</t>
  </si>
  <si>
    <t>Save the data in each column to a file named in Row 3 in the trarr trf format.</t>
  </si>
  <si>
    <t>Copy TRFwsht data to T17 TRFwsht file, Generate random seeds, Write dataset, Simulation - Save files to folder</t>
  </si>
  <si>
    <t>Delete seeds and run Random_Seed macro for new dataset</t>
  </si>
  <si>
    <t>Inputs</t>
  </si>
  <si>
    <t>Time of day by vehicle class by direction traffic counts</t>
  </si>
  <si>
    <t>Factor to adjust counts to first year of analysis</t>
  </si>
  <si>
    <t>Annual growth factor</t>
  </si>
  <si>
    <t>Years to be analysed</t>
  </si>
  <si>
    <t>Determine daily time periods</t>
  </si>
  <si>
    <t>Base filename</t>
  </si>
  <si>
    <t>Percent following</t>
  </si>
  <si>
    <t>Number of seeds</t>
  </si>
  <si>
    <t>Project directory for data files</t>
  </si>
  <si>
    <t>Defaults</t>
  </si>
  <si>
    <t xml:space="preserve">TUN   </t>
  </si>
  <si>
    <t xml:space="preserve">TSE   </t>
  </si>
  <si>
    <t xml:space="preserve">tsi   </t>
  </si>
  <si>
    <t>OPTION</t>
  </si>
  <si>
    <t xml:space="preserve">DTS1  </t>
  </si>
  <si>
    <t xml:space="preserve">DTS2  </t>
  </si>
  <si>
    <t>ppfol1</t>
  </si>
  <si>
    <t>ppfol2</t>
  </si>
  <si>
    <t xml:space="preserve">NSTR  </t>
  </si>
  <si>
    <t>NSEED0</t>
  </si>
  <si>
    <t>ICHECK</t>
  </si>
  <si>
    <t>BaseFilename</t>
  </si>
  <si>
    <t>Traffic Counts</t>
  </si>
  <si>
    <t>Matrix starts</t>
  </si>
  <si>
    <t>Dir1</t>
  </si>
  <si>
    <t>DIR1count!C14</t>
  </si>
  <si>
    <t>Dir2</t>
  </si>
  <si>
    <t>DIR2count!C14</t>
  </si>
  <si>
    <t>Traffic No/Hr</t>
  </si>
  <si>
    <t>Period</t>
  </si>
  <si>
    <t>Both ways</t>
  </si>
  <si>
    <t>N</t>
  </si>
  <si>
    <t>D</t>
  </si>
  <si>
    <t>A</t>
  </si>
  <si>
    <t>P</t>
  </si>
  <si>
    <t>Count Year</t>
  </si>
  <si>
    <t>Growth%</t>
  </si>
  <si>
    <t>Years</t>
  </si>
  <si>
    <t>Growth Factor</t>
  </si>
  <si>
    <t>Period code</t>
  </si>
  <si>
    <t>No</t>
  </si>
  <si>
    <t>Description</t>
  </si>
  <si>
    <t>11-12</t>
  </si>
  <si>
    <t>15-16</t>
  </si>
  <si>
    <t xml:space="preserve"> 06-18 (excluding Peak)</t>
  </si>
  <si>
    <t xml:space="preserve"> 18-06</t>
  </si>
  <si>
    <t>TRFdata</t>
  </si>
  <si>
    <t>Year</t>
  </si>
  <si>
    <t>Cars 1 (qcar1)</t>
  </si>
  <si>
    <t>Car Towing 1 (qct1)</t>
  </si>
  <si>
    <t>Rigid / Bus 1 (qrig1)</t>
  </si>
  <si>
    <t>Single Artic 1 (qart1)</t>
  </si>
  <si>
    <t>B-double 1 (qbdb1)</t>
  </si>
  <si>
    <t>Road Train 1 (qrdt1)</t>
  </si>
  <si>
    <t>veh/hr</t>
  </si>
  <si>
    <t>hr/day</t>
  </si>
  <si>
    <t>veh/day</t>
  </si>
  <si>
    <t>Cars 2 (qcar2)</t>
  </si>
  <si>
    <t>Car Towing 2 (qct2)</t>
  </si>
  <si>
    <t>Rigid / Bus 2 (qrig2)</t>
  </si>
  <si>
    <t>Single Artic 2 (qart2)</t>
  </si>
  <si>
    <t>B-double 2 (qbdb2)</t>
  </si>
  <si>
    <t>Road Train 2 (qrdt2)</t>
  </si>
  <si>
    <t>2way veh/day</t>
  </si>
  <si>
    <t>Qtot</t>
  </si>
  <si>
    <t>Sample (vehicles)</t>
  </si>
  <si>
    <t>TSI</t>
  </si>
  <si>
    <t>TUN</t>
  </si>
  <si>
    <t>TSE</t>
  </si>
  <si>
    <t>DTS1</t>
  </si>
  <si>
    <t>DTS2</t>
  </si>
  <si>
    <t>PFOL1</t>
  </si>
  <si>
    <t>PFOL2</t>
  </si>
  <si>
    <t>NSTR</t>
  </si>
  <si>
    <t>ADVGC</t>
  </si>
  <si>
    <t>DIR1</t>
  </si>
  <si>
    <t>Proportion</t>
  </si>
  <si>
    <t>CARS</t>
  </si>
  <si>
    <t>CAR TOW</t>
  </si>
  <si>
    <t>RIGIDS</t>
  </si>
  <si>
    <t>SGLARTC</t>
  </si>
  <si>
    <t>DBLARTC</t>
  </si>
  <si>
    <t>RDTRAIN</t>
  </si>
  <si>
    <t>DIR2</t>
  </si>
  <si>
    <t>VMIT</t>
  </si>
  <si>
    <t>BOTH WAYS</t>
  </si>
  <si>
    <t>Vehicles/hr</t>
  </si>
  <si>
    <t>EnableSeed1</t>
  </si>
  <si>
    <t>EnableSeed2</t>
  </si>
  <si>
    <t>EnableSeed3</t>
  </si>
  <si>
    <t>EnableSeed4</t>
  </si>
  <si>
    <t>EnableSeed5</t>
  </si>
  <si>
    <t>EnableSeed6</t>
  </si>
  <si>
    <t>EnableSeed7</t>
  </si>
  <si>
    <t>EnableSeed8</t>
  </si>
  <si>
    <t>EnableSeed9</t>
  </si>
  <si>
    <t>EnableSeed10</t>
  </si>
  <si>
    <t>Seed1</t>
  </si>
  <si>
    <t>Seed2</t>
  </si>
  <si>
    <t>Seed3</t>
  </si>
  <si>
    <t>Seed4</t>
  </si>
  <si>
    <t>Seed5</t>
  </si>
  <si>
    <t>Seed6</t>
  </si>
  <si>
    <t>Seed7</t>
  </si>
  <si>
    <t>Seed8</t>
  </si>
  <si>
    <t>Seed9</t>
  </si>
  <si>
    <t>Seed10</t>
  </si>
  <si>
    <t>Road</t>
  </si>
  <si>
    <t>Location</t>
  </si>
  <si>
    <t>Total No. of Vehicles</t>
  </si>
  <si>
    <t>Ave Speed</t>
  </si>
  <si>
    <t>Survey Day</t>
  </si>
  <si>
    <t>Site No.</t>
  </si>
  <si>
    <t>85%ile Speed</t>
  </si>
  <si>
    <t>Start Date</t>
  </si>
  <si>
    <t>Heavy Vehicle %</t>
  </si>
  <si>
    <t>Direction</t>
  </si>
  <si>
    <t>End Date</t>
  </si>
  <si>
    <t>Time</t>
  </si>
  <si>
    <t>Vehicle Classification:</t>
  </si>
  <si>
    <t>Hourly
Totals</t>
  </si>
  <si>
    <t>Speed</t>
  </si>
  <si>
    <t>Ave.</t>
  </si>
  <si>
    <t>85%ile</t>
  </si>
  <si>
    <t>0000-0100</t>
  </si>
  <si>
    <t>-</t>
  </si>
  <si>
    <t>0100-0200</t>
  </si>
  <si>
    <t>0200-0300</t>
  </si>
  <si>
    <t>0300-0400</t>
  </si>
  <si>
    <t>0400-0500</t>
  </si>
  <si>
    <t>0500-0600</t>
  </si>
  <si>
    <t>0600-0700</t>
  </si>
  <si>
    <t>0700-0800</t>
  </si>
  <si>
    <t>0800-0900</t>
  </si>
  <si>
    <t>0900-1000</t>
  </si>
  <si>
    <t>1000-1100</t>
  </si>
  <si>
    <t>1100-1200</t>
  </si>
  <si>
    <t>1200-1300</t>
  </si>
  <si>
    <t>1300-1400</t>
  </si>
  <si>
    <t>1400-1500</t>
  </si>
  <si>
    <t>1500-1600</t>
  </si>
  <si>
    <t>1600-1700</t>
  </si>
  <si>
    <t>1700-1800</t>
  </si>
  <si>
    <t>1800-1900</t>
  </si>
  <si>
    <t>1900-2000</t>
  </si>
  <si>
    <t>2000-2100</t>
  </si>
  <si>
    <t>2100-2200</t>
  </si>
  <si>
    <t>2200-2300</t>
  </si>
  <si>
    <t>2300-2400</t>
  </si>
  <si>
    <t>Totals</t>
  </si>
  <si>
    <t>Peaks</t>
  </si>
  <si>
    <t>0700-0900</t>
  </si>
  <si>
    <t>1600-1800</t>
  </si>
  <si>
    <t>Off-Peak</t>
  </si>
  <si>
    <t>Selecting TRARR TSE (Time Settling down) Value</t>
  </si>
  <si>
    <t>Min speed (km/hr)</t>
  </si>
  <si>
    <t>Min speed (m/sec)</t>
  </si>
  <si>
    <t>Length (km)</t>
  </si>
  <si>
    <t>Default</t>
  </si>
  <si>
    <t xml:space="preserve">proportions of... </t>
  </si>
  <si>
    <t>car-towing in light vehicles</t>
  </si>
  <si>
    <t>prct:</t>
  </si>
  <si>
    <t>rigid trucks in heavy vehicles</t>
  </si>
  <si>
    <t>prrig:</t>
  </si>
  <si>
    <t>1 TRF file name:</t>
  </si>
  <si>
    <t>2 TRF file name:</t>
  </si>
  <si>
    <t>3 TRF file name:</t>
  </si>
  <si>
    <t>4 TRF file name:</t>
  </si>
  <si>
    <t>5 TRF file name:</t>
  </si>
  <si>
    <t>6 TRF file name:</t>
  </si>
  <si>
    <t>7 TRF file name:</t>
  </si>
  <si>
    <t>8 TRF file name:</t>
  </si>
  <si>
    <t>9 TRF file name:</t>
  </si>
  <si>
    <t>10 TRF file name:</t>
  </si>
  <si>
    <t>11 TRF file name:</t>
  </si>
  <si>
    <t>12 TRF file name:</t>
  </si>
  <si>
    <t>13 TRF file name:</t>
  </si>
  <si>
    <t>14 TRF file name:</t>
  </si>
  <si>
    <t>15 TRF file name:</t>
  </si>
  <si>
    <t>16 TRF file name:</t>
  </si>
  <si>
    <t>17 TRF file name:</t>
  </si>
  <si>
    <t>18 TRF file name:</t>
  </si>
  <si>
    <t>19 TRF file name:</t>
  </si>
  <si>
    <t>20 TRF file name:</t>
  </si>
  <si>
    <t>21 TRF file name:</t>
  </si>
  <si>
    <t>22 TRF file name:</t>
  </si>
  <si>
    <t>23 TRF file name:</t>
  </si>
  <si>
    <t>24 TRF file name:</t>
  </si>
  <si>
    <t>25 TRF file name:</t>
  </si>
  <si>
    <t>26 TRF file name:</t>
  </si>
  <si>
    <t>27 TRF file name:</t>
  </si>
  <si>
    <t>28 TRF file name:</t>
  </si>
  <si>
    <t>29 TRF file name:</t>
  </si>
  <si>
    <t>30 TRF file name:</t>
  </si>
  <si>
    <t>31 TRF file name:</t>
  </si>
  <si>
    <t>32 TRF file name:</t>
  </si>
  <si>
    <t>33 TRF file name:</t>
  </si>
  <si>
    <t>34 TRF file name:</t>
  </si>
  <si>
    <t>35 TRF file name:</t>
  </si>
  <si>
    <t>36 TRF file name:</t>
  </si>
  <si>
    <t>Direction 1</t>
  </si>
  <si>
    <t>Direction 2</t>
  </si>
  <si>
    <t>Flow 1 (qtot1)</t>
  </si>
  <si>
    <t>Flow 2 (qtot2)</t>
  </si>
  <si>
    <t>Ideal % Foll 1 (pfol1)</t>
  </si>
  <si>
    <t>Ideal % Foll 2 (pfol2)</t>
  </si>
  <si>
    <t>% Trucks 1 (phv1)</t>
  </si>
  <si>
    <t>%</t>
  </si>
  <si>
    <t>% Trucks 2 (phv2)</t>
  </si>
  <si>
    <t>Two-directional flow for vehicle category (vmit)</t>
  </si>
  <si>
    <t>Cars  vmit(1)</t>
  </si>
  <si>
    <t>Single Artics  vmit(4a)</t>
  </si>
  <si>
    <t>Artics</t>
  </si>
  <si>
    <t>Cars-Towing  vmit(2)</t>
  </si>
  <si>
    <t>Double Artics  vmit(4b)</t>
  </si>
  <si>
    <t>Rigid / Bus  vmit(3)</t>
  </si>
  <si>
    <t>Road Train  vmit(5)</t>
  </si>
  <si>
    <t>Proportion vehicle category flow in each lane &amp; direction (adgvc)</t>
  </si>
  <si>
    <t>Cars  advgc(1)</t>
  </si>
  <si>
    <t>Cars  advgc(17)</t>
  </si>
  <si>
    <t>Cars-towing  advgc(2)</t>
  </si>
  <si>
    <t>Cars-towing  advgc(18)</t>
  </si>
  <si>
    <t>Rigid / Bus  advgc(3)</t>
  </si>
  <si>
    <t>Rigid / Bus  advgc(19)</t>
  </si>
  <si>
    <t>Single Artics  advgc(4)</t>
  </si>
  <si>
    <t>Single Artics  advgc(20)</t>
  </si>
  <si>
    <t>Double Artics  advgc(5)</t>
  </si>
  <si>
    <t>Double Artics  advgc(21)</t>
  </si>
  <si>
    <t>Road trains  advgc(6)</t>
  </si>
  <si>
    <t>Road trains  advgc(22)</t>
  </si>
  <si>
    <t>Simulation Time (TSI)</t>
  </si>
  <si>
    <t>Settling Down Time (TSE)</t>
  </si>
  <si>
    <t>User defined % Foll 1 (pfol1)</t>
  </si>
  <si>
    <t>User defined % Foll 2 (pfol2)</t>
  </si>
  <si>
    <t>Random seed numbers for</t>
  </si>
  <si>
    <t>Seed Number</t>
  </si>
  <si>
    <t>Order</t>
  </si>
  <si>
    <t>Use</t>
  </si>
  <si>
    <t>Vehicle Classification Summary</t>
  </si>
  <si>
    <t xml:space="preserve">(MR78) Olympic Highway </t>
  </si>
  <si>
    <t>Survey Week</t>
  </si>
  <si>
    <t xml:space="preserve"> Culcairn - 3.2km N of MR331 (Holbrook Rd)  </t>
  </si>
  <si>
    <t>Wed 07/02/18</t>
  </si>
  <si>
    <t>Wed 14/02/18</t>
  </si>
  <si>
    <t>Northbound</t>
  </si>
  <si>
    <t>Week 1: 7 day average</t>
  </si>
  <si>
    <t>Southbound</t>
  </si>
  <si>
    <t>Changes</t>
  </si>
  <si>
    <t>Template is hard-coded in year blocks of time periods.</t>
  </si>
  <si>
    <t>Process to insert time periods:</t>
  </si>
  <si>
    <t xml:space="preserve"> Insert TRFsetup time period</t>
  </si>
  <si>
    <t xml:space="preserve"> Insert TRFdata column in first year block and subsequent year blocks</t>
  </si>
  <si>
    <t xml:space="preserve"> Highlight adjacent column and drag formula over new column</t>
  </si>
  <si>
    <t>Process to insert year blocks:</t>
  </si>
  <si>
    <t xml:space="preserve"> Insert TRFsetup year</t>
  </si>
  <si>
    <t xml:space="preserve"> Copy TRFdata last year block and paste to new position</t>
  </si>
  <si>
    <t xml:space="preserve"> Note: TRFdata first year block uses Array Formulas - Press Ctrl+Shift+Enter.</t>
  </si>
  <si>
    <t xml:space="preserve"> Link TRFdata year to TRFsetup year</t>
  </si>
  <si>
    <t>If filename is blank for unused time periods or years TRF files will not be generated</t>
  </si>
  <si>
    <t>Paste hourly Vehicle Class Time matrix for prescribed and counter direction into DIRcount sheets and update TRFsetup traffic count cells</t>
  </si>
  <si>
    <t>Update time periods if required, eg A, P, D and N for AM Peak, PM peak, Day and Night hours.</t>
  </si>
  <si>
    <t>todo</t>
  </si>
  <si>
    <t>Blank TRFsetup filename if no time period</t>
  </si>
  <si>
    <t>Lookup TRFsetup DIR1 and DIR2 traffic No by hour of day</t>
  </si>
  <si>
    <t xml:space="preserve">Check ReadMe </t>
  </si>
  <si>
    <t>Ver</t>
  </si>
  <si>
    <t>MRNoSec</t>
  </si>
  <si>
    <t>Enter TRFsetup road-section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</si>
</sst>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hh:mm"/>
    <numFmt numFmtId="165" formatCode="0.0%"/>
    <numFmt numFmtId="166" formatCode="0.0"/>
    <numFmt numFmtId="167" formatCode="_-* #,##0.00_-;\-* #,##0.00_-;_-* \-??_-;_-@_-"/>
    <numFmt numFmtId="168" formatCode="_-* #,##0_-;\-* #,##0_-;_-* \-??_-;_-@_-"/>
    <numFmt numFmtId="169" formatCode="#,##0.0"/>
    <numFmt numFmtId="170" formatCode="ddd\ dd/mm/yy"/>
    <numFmt numFmtId="171" formatCode="_-* #,##0.0_-;\-* #,##0.0_-;_-* \-??_-;_-@_-"/>
    <numFmt numFmtId="172" formatCode="[$-F800]dddd\,\ mmmm\ dd\,\ yyyy"/>
  </numFmts>
  <fonts count="36" x14ac:knownFonts="1">
    <font>
      <sz val="10"/>
      <name val="Arial"/>
      <charset val="1"/>
    </font>
    <font>
      <sz val="11"/>
      <color theme="1"/>
      <name val="Calibri"/>
      <family val="2"/>
      <scheme val="minor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sz val="10"/>
      <name val="Arial"/>
      <family val="2"/>
      <charset val="1"/>
    </font>
    <font>
      <b/>
      <sz val="10"/>
      <name val="Arial"/>
      <charset val="1"/>
    </font>
    <font>
      <b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0"/>
      <name val="Arial"/>
      <charset val="1"/>
    </font>
    <font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FFF9AE"/>
        <bgColor rgb="FFFFFF99"/>
      </patternFill>
    </fill>
    <fill>
      <patternFill patternType="solid">
        <fgColor rgb="FFCCCCCC"/>
        <bgColor rgb="FFBFBFBF"/>
      </patternFill>
    </fill>
    <fill>
      <patternFill patternType="solid">
        <fgColor rgb="FFFFFF99"/>
        <bgColor rgb="FFFFF9AE"/>
      </patternFill>
    </fill>
    <fill>
      <patternFill patternType="solid">
        <fgColor rgb="FFFFFF00"/>
        <bgColor rgb="FFFFFF00"/>
      </patternFill>
    </fill>
    <fill>
      <patternFill patternType="solid">
        <fgColor rgb="FFD9D9D9"/>
        <bgColor rgb="FFCCCCCC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FF"/>
        <bgColor rgb="FF99CCFF"/>
      </patternFill>
    </fill>
    <fill>
      <patternFill patternType="solid">
        <fgColor rgb="FFCCFFFF"/>
        <bgColor rgb="FFBFBFBF"/>
      </patternFill>
    </fill>
    <fill>
      <patternFill patternType="solid">
        <fgColor rgb="FFCCFFFF"/>
        <bgColor indexed="64"/>
      </patternFill>
    </fill>
    <fill>
      <patternFill patternType="solid">
        <fgColor rgb="FFCCFFFF"/>
        <bgColor rgb="FFADC5E7"/>
      </patternFill>
    </fill>
    <fill>
      <patternFill patternType="solid">
        <fgColor rgb="FFCCFFFF"/>
        <bgColor rgb="FFCCFFFF"/>
      </patternFill>
    </fill>
  </fills>
  <borders count="7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mediumDashed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mediumDashed">
        <color indexed="55"/>
      </bottom>
      <diagonal/>
    </border>
    <border>
      <left style="thin">
        <color indexed="55"/>
      </left>
      <right style="medium">
        <color indexed="64"/>
      </right>
      <top style="thin">
        <color indexed="55"/>
      </top>
      <bottom style="mediumDashed">
        <color indexed="55"/>
      </bottom>
      <diagonal/>
    </border>
    <border>
      <left/>
      <right/>
      <top style="thin">
        <color indexed="55"/>
      </top>
      <bottom style="mediumDashed">
        <color indexed="55"/>
      </bottom>
      <diagonal/>
    </border>
    <border>
      <left style="thin">
        <color indexed="55"/>
      </left>
      <right/>
      <top style="mediumDashed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medium">
        <color indexed="64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mediumDashed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 style="medium">
        <color indexed="64"/>
      </right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</borders>
  <cellStyleXfs count="100">
    <xf numFmtId="0" fontId="0" fillId="0" borderId="0"/>
    <xf numFmtId="167" fontId="8" fillId="0" borderId="0" applyBorder="0" applyProtection="0"/>
    <xf numFmtId="9" fontId="8" fillId="0" borderId="0" applyBorder="0" applyProtection="0"/>
    <xf numFmtId="0" fontId="10" fillId="0" borderId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1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5" borderId="0" applyNumberFormat="0" applyBorder="0" applyAlignment="0" applyProtection="0"/>
    <xf numFmtId="0" fontId="14" fillId="9" borderId="0" applyNumberFormat="0" applyBorder="0" applyAlignment="0" applyProtection="0"/>
    <xf numFmtId="0" fontId="15" fillId="26" borderId="41" applyNumberFormat="0" applyAlignment="0" applyProtection="0"/>
    <xf numFmtId="0" fontId="16" fillId="27" borderId="42" applyNumberFormat="0" applyAlignment="0" applyProtection="0"/>
    <xf numFmtId="43" fontId="11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0" borderId="43" applyNumberFormat="0" applyFill="0" applyAlignment="0" applyProtection="0"/>
    <xf numFmtId="0" fontId="20" fillId="0" borderId="44" applyNumberFormat="0" applyFill="0" applyAlignment="0" applyProtection="0"/>
    <xf numFmtId="0" fontId="21" fillId="0" borderId="45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23" fillId="13" borderId="41" applyNumberFormat="0" applyAlignment="0" applyProtection="0"/>
    <xf numFmtId="0" fontId="24" fillId="0" borderId="46" applyNumberFormat="0" applyFill="0" applyAlignment="0" applyProtection="0"/>
    <xf numFmtId="0" fontId="25" fillId="28" borderId="0" applyNumberFormat="0" applyBorder="0" applyAlignment="0" applyProtection="0"/>
    <xf numFmtId="0" fontId="11" fillId="0" borderId="0"/>
    <xf numFmtId="0" fontId="11" fillId="29" borderId="47" applyNumberFormat="0" applyFont="0" applyAlignment="0" applyProtection="0"/>
    <xf numFmtId="0" fontId="26" fillId="26" borderId="48" applyNumberFormat="0" applyAlignment="0" applyProtection="0"/>
    <xf numFmtId="9" fontId="11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49" applyNumberFormat="0" applyFill="0" applyAlignment="0" applyProtection="0"/>
    <xf numFmtId="0" fontId="29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1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5" borderId="0" applyNumberFormat="0" applyBorder="0" applyAlignment="0" applyProtection="0"/>
    <xf numFmtId="0" fontId="14" fillId="9" borderId="0" applyNumberFormat="0" applyBorder="0" applyAlignment="0" applyProtection="0"/>
    <xf numFmtId="0" fontId="15" fillId="26" borderId="41" applyNumberFormat="0" applyAlignment="0" applyProtection="0"/>
    <xf numFmtId="0" fontId="16" fillId="27" borderId="42" applyNumberFormat="0" applyAlignment="0" applyProtection="0"/>
    <xf numFmtId="43" fontId="11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0" borderId="43" applyNumberFormat="0" applyFill="0" applyAlignment="0" applyProtection="0"/>
    <xf numFmtId="0" fontId="20" fillId="0" borderId="44" applyNumberFormat="0" applyFill="0" applyAlignment="0" applyProtection="0"/>
    <xf numFmtId="0" fontId="21" fillId="0" borderId="45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23" fillId="13" borderId="41" applyNumberFormat="0" applyAlignment="0" applyProtection="0"/>
    <xf numFmtId="0" fontId="24" fillId="0" borderId="46" applyNumberFormat="0" applyFill="0" applyAlignment="0" applyProtection="0"/>
    <xf numFmtId="0" fontId="25" fillId="28" borderId="0" applyNumberFormat="0" applyBorder="0" applyAlignment="0" applyProtection="0"/>
    <xf numFmtId="0" fontId="1" fillId="0" borderId="0"/>
    <xf numFmtId="0" fontId="11" fillId="29" borderId="47" applyNumberFormat="0" applyFont="0" applyAlignment="0" applyProtection="0"/>
    <xf numFmtId="0" fontId="26" fillId="26" borderId="48" applyNumberFormat="0" applyAlignment="0" applyProtection="0"/>
    <xf numFmtId="9" fontId="11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49" applyNumberFormat="0" applyFill="0" applyAlignment="0" applyProtection="0"/>
    <xf numFmtId="0" fontId="29" fillId="0" borderId="0" applyNumberFormat="0" applyFill="0" applyBorder="0" applyAlignment="0" applyProtection="0"/>
    <xf numFmtId="172" fontId="1" fillId="0" borderId="0"/>
    <xf numFmtId="9" fontId="1" fillId="0" borderId="0" applyFont="0" applyFill="0" applyBorder="0" applyAlignment="0" applyProtection="0"/>
    <xf numFmtId="172" fontId="11" fillId="0" borderId="0"/>
    <xf numFmtId="172" fontId="35" fillId="0" borderId="0" applyNumberFormat="0" applyFill="0" applyBorder="0" applyAlignment="0" applyProtection="0">
      <alignment vertical="top"/>
      <protection locked="0"/>
    </xf>
  </cellStyleXfs>
  <cellXfs count="22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164" fontId="0" fillId="3" borderId="0" xfId="0" applyNumberFormat="1" applyFill="1"/>
    <xf numFmtId="3" fontId="0" fillId="3" borderId="0" xfId="0" applyNumberFormat="1" applyFill="1"/>
    <xf numFmtId="3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3" fontId="0" fillId="0" borderId="1" xfId="0" applyNumberFormat="1" applyBorder="1"/>
    <xf numFmtId="9" fontId="4" fillId="0" borderId="0" xfId="2" applyFont="1" applyBorder="1" applyAlignment="1" applyProtection="1"/>
    <xf numFmtId="165" fontId="4" fillId="0" borderId="0" xfId="2" applyNumberFormat="1" applyFont="1" applyBorder="1" applyAlignment="1" applyProtection="1"/>
    <xf numFmtId="0" fontId="4" fillId="4" borderId="2" xfId="0" applyFont="1" applyFill="1" applyBorder="1"/>
    <xf numFmtId="0" fontId="0" fillId="4" borderId="2" xfId="0" applyFill="1" applyBorder="1"/>
    <xf numFmtId="0" fontId="0" fillId="4" borderId="0" xfId="0" applyFill="1"/>
    <xf numFmtId="0" fontId="0" fillId="4" borderId="0" xfId="0" applyFill="1" applyBorder="1"/>
    <xf numFmtId="9" fontId="0" fillId="4" borderId="0" xfId="2" applyFont="1" applyFill="1" applyBorder="1" applyAlignment="1" applyProtection="1"/>
    <xf numFmtId="165" fontId="0" fillId="0" borderId="0" xfId="2" applyNumberFormat="1" applyFont="1" applyBorder="1" applyAlignment="1" applyProtection="1"/>
    <xf numFmtId="0" fontId="0" fillId="0" borderId="0" xfId="0" applyBorder="1"/>
    <xf numFmtId="166" fontId="0" fillId="0" borderId="0" xfId="0" applyNumberFormat="1"/>
    <xf numFmtId="0" fontId="0" fillId="0" borderId="3" xfId="0" applyFont="1" applyBorder="1" applyAlignment="1">
      <alignment horizontal="right"/>
    </xf>
    <xf numFmtId="0" fontId="0" fillId="0" borderId="4" xfId="0" applyBorder="1" applyAlignment="1">
      <alignment horizontal="right"/>
    </xf>
    <xf numFmtId="1" fontId="0" fillId="5" borderId="2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0" fontId="4" fillId="0" borderId="3" xfId="0" applyFont="1" applyBorder="1" applyAlignment="1">
      <alignment horizontal="right"/>
    </xf>
    <xf numFmtId="0" fontId="4" fillId="0" borderId="4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168" fontId="0" fillId="0" borderId="0" xfId="1" applyNumberFormat="1" applyFont="1" applyBorder="1" applyAlignment="1" applyProtection="1">
      <alignment horizontal="center"/>
    </xf>
    <xf numFmtId="1" fontId="0" fillId="0" borderId="0" xfId="1" applyNumberFormat="1" applyFont="1" applyBorder="1" applyAlignment="1" applyProtection="1">
      <alignment horizontal="center"/>
    </xf>
    <xf numFmtId="0" fontId="4" fillId="0" borderId="0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horizontal="center"/>
    </xf>
    <xf numFmtId="168" fontId="0" fillId="4" borderId="2" xfId="1" applyNumberFormat="1" applyFont="1" applyFill="1" applyBorder="1" applyAlignment="1" applyProtection="1">
      <alignment horizontal="center"/>
    </xf>
    <xf numFmtId="3" fontId="0" fillId="0" borderId="0" xfId="0" applyNumberFormat="1" applyBorder="1" applyAlignment="1">
      <alignment horizontal="center"/>
    </xf>
    <xf numFmtId="166" fontId="2" fillId="0" borderId="0" xfId="0" applyNumberFormat="1" applyFont="1"/>
    <xf numFmtId="2" fontId="0" fillId="0" borderId="0" xfId="0" applyNumberFormat="1"/>
    <xf numFmtId="0" fontId="5" fillId="0" borderId="0" xfId="0" applyFont="1"/>
    <xf numFmtId="0" fontId="0" fillId="0" borderId="0" xfId="0" applyAlignment="1"/>
    <xf numFmtId="168" fontId="4" fillId="0" borderId="0" xfId="1" applyNumberFormat="1" applyFont="1" applyBorder="1" applyAlignment="1" applyProtection="1"/>
    <xf numFmtId="168" fontId="2" fillId="0" borderId="0" xfId="1" applyNumberFormat="1" applyFont="1" applyBorder="1" applyAlignment="1" applyProtection="1"/>
    <xf numFmtId="168" fontId="4" fillId="4" borderId="0" xfId="1" applyNumberFormat="1" applyFont="1" applyFill="1" applyBorder="1" applyAlignment="1" applyProtection="1"/>
    <xf numFmtId="171" fontId="4" fillId="0" borderId="0" xfId="1" applyNumberFormat="1" applyFont="1" applyBorder="1" applyAlignment="1" applyProtection="1"/>
    <xf numFmtId="168" fontId="0" fillId="0" borderId="0" xfId="0" applyNumberFormat="1"/>
    <xf numFmtId="0" fontId="4" fillId="0" borderId="0" xfId="0" applyFont="1" applyAlignmen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0" xfId="0" applyFont="1" applyAlignment="1">
      <alignment horizontal="right"/>
    </xf>
    <xf numFmtId="0" fontId="2" fillId="0" borderId="2" xfId="0" applyFont="1" applyBorder="1" applyAlignment="1">
      <alignment horizontal="center"/>
    </xf>
    <xf numFmtId="0" fontId="0" fillId="0" borderId="9" xfId="0" applyFont="1" applyBorder="1" applyAlignment="1">
      <alignment horizontal="right"/>
    </xf>
    <xf numFmtId="166" fontId="0" fillId="0" borderId="2" xfId="0" applyNumberFormat="1" applyBorder="1" applyAlignment="1">
      <alignment horizontal="center"/>
    </xf>
    <xf numFmtId="166" fontId="0" fillId="6" borderId="10" xfId="0" applyNumberFormat="1" applyFill="1" applyBorder="1" applyAlignment="1">
      <alignment horizontal="center"/>
    </xf>
    <xf numFmtId="166" fontId="0" fillId="0" borderId="9" xfId="0" applyNumberFormat="1" applyFont="1" applyBorder="1" applyAlignment="1">
      <alignment horizontal="right"/>
    </xf>
    <xf numFmtId="166" fontId="0" fillId="6" borderId="11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6" fontId="2" fillId="6" borderId="12" xfId="0" applyNumberFormat="1" applyFont="1" applyFill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4" fillId="0" borderId="15" xfId="0" applyFont="1" applyBorder="1" applyAlignment="1">
      <alignment horizontal="right"/>
    </xf>
    <xf numFmtId="1" fontId="0" fillId="4" borderId="16" xfId="0" applyNumberFormat="1" applyFill="1" applyBorder="1" applyAlignment="1">
      <alignment horizontal="center"/>
    </xf>
    <xf numFmtId="0" fontId="0" fillId="0" borderId="18" xfId="0" applyFont="1" applyBorder="1" applyAlignment="1">
      <alignment horizontal="right"/>
    </xf>
    <xf numFmtId="1" fontId="0" fillId="0" borderId="19" xfId="0" applyNumberFormat="1" applyBorder="1" applyAlignment="1">
      <alignment horizontal="center"/>
    </xf>
    <xf numFmtId="166" fontId="0" fillId="6" borderId="20" xfId="0" applyNumberFormat="1" applyFill="1" applyBorder="1" applyAlignment="1">
      <alignment horizontal="center"/>
    </xf>
    <xf numFmtId="0" fontId="0" fillId="0" borderId="19" xfId="0" applyFont="1" applyBorder="1" applyAlignment="1">
      <alignment horizontal="right"/>
    </xf>
    <xf numFmtId="166" fontId="2" fillId="0" borderId="12" xfId="0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66" fontId="0" fillId="6" borderId="21" xfId="0" applyNumberFormat="1" applyFill="1" applyBorder="1" applyAlignment="1">
      <alignment horizontal="center"/>
    </xf>
    <xf numFmtId="0" fontId="0" fillId="0" borderId="2" xfId="0" applyFont="1" applyBorder="1" applyAlignment="1">
      <alignment horizontal="right"/>
    </xf>
    <xf numFmtId="1" fontId="2" fillId="0" borderId="14" xfId="0" applyNumberFormat="1" applyFont="1" applyBorder="1" applyAlignment="1">
      <alignment horizontal="center"/>
    </xf>
    <xf numFmtId="166" fontId="0" fillId="6" borderId="22" xfId="0" applyNumberFormat="1" applyFill="1" applyBorder="1" applyAlignment="1">
      <alignment horizontal="center"/>
    </xf>
    <xf numFmtId="0" fontId="0" fillId="0" borderId="16" xfId="0" applyFont="1" applyBorder="1" applyAlignment="1">
      <alignment horizontal="right"/>
    </xf>
    <xf numFmtId="0" fontId="0" fillId="0" borderId="23" xfId="0" applyFont="1" applyBorder="1" applyAlignment="1">
      <alignment horizontal="right"/>
    </xf>
    <xf numFmtId="2" fontId="0" fillId="0" borderId="24" xfId="0" applyNumberFormat="1" applyBorder="1" applyAlignment="1">
      <alignment horizontal="center"/>
    </xf>
    <xf numFmtId="2" fontId="0" fillId="6" borderId="25" xfId="0" applyNumberFormat="1" applyFill="1" applyBorder="1" applyAlignment="1">
      <alignment horizontal="center"/>
    </xf>
    <xf numFmtId="2" fontId="0" fillId="6" borderId="26" xfId="0" applyNumberFormat="1" applyFill="1" applyBorder="1" applyAlignment="1">
      <alignment horizontal="center"/>
    </xf>
    <xf numFmtId="0" fontId="0" fillId="0" borderId="5" xfId="0" applyFont="1" applyBorder="1" applyAlignment="1">
      <alignment horizontal="right"/>
    </xf>
    <xf numFmtId="2" fontId="0" fillId="0" borderId="27" xfId="0" applyNumberFormat="1" applyBorder="1" applyAlignment="1">
      <alignment horizontal="center"/>
    </xf>
    <xf numFmtId="2" fontId="0" fillId="6" borderId="11" xfId="0" applyNumberFormat="1" applyFill="1" applyBorder="1" applyAlignment="1">
      <alignment horizontal="center"/>
    </xf>
    <xf numFmtId="0" fontId="0" fillId="0" borderId="15" xfId="0" applyFont="1" applyBorder="1" applyAlignment="1">
      <alignment horizontal="right"/>
    </xf>
    <xf numFmtId="2" fontId="0" fillId="6" borderId="28" xfId="0" applyNumberFormat="1" applyFill="1" applyBorder="1" applyAlignment="1">
      <alignment horizontal="center"/>
    </xf>
    <xf numFmtId="0" fontId="0" fillId="0" borderId="29" xfId="0" applyFont="1" applyBorder="1" applyAlignment="1">
      <alignment horizontal="right"/>
    </xf>
    <xf numFmtId="2" fontId="0" fillId="0" borderId="30" xfId="0" applyNumberFormat="1" applyBorder="1" applyAlignment="1">
      <alignment horizontal="center"/>
    </xf>
    <xf numFmtId="2" fontId="0" fillId="6" borderId="31" xfId="0" applyNumberFormat="1" applyFill="1" applyBorder="1" applyAlignment="1">
      <alignment horizontal="center"/>
    </xf>
    <xf numFmtId="0" fontId="0" fillId="0" borderId="32" xfId="0" applyFont="1" applyBorder="1" applyAlignment="1">
      <alignment horizontal="right"/>
    </xf>
    <xf numFmtId="166" fontId="0" fillId="4" borderId="12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6" fontId="0" fillId="4" borderId="14" xfId="0" applyNumberFormat="1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166" fontId="0" fillId="4" borderId="10" xfId="0" applyNumberFormat="1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166" fontId="0" fillId="0" borderId="36" xfId="0" applyNumberFormat="1" applyFont="1" applyBorder="1" applyAlignment="1">
      <alignment horizontal="right"/>
    </xf>
    <xf numFmtId="166" fontId="0" fillId="4" borderId="37" xfId="0" applyNumberFormat="1" applyFill="1" applyBorder="1" applyAlignment="1">
      <alignment horizontal="center"/>
    </xf>
    <xf numFmtId="166" fontId="0" fillId="6" borderId="38" xfId="0" applyNumberFormat="1" applyFill="1" applyBorder="1" applyAlignment="1">
      <alignment horizontal="center"/>
    </xf>
    <xf numFmtId="166" fontId="0" fillId="4" borderId="39" xfId="0" applyNumberFormat="1" applyFill="1" applyBorder="1" applyAlignment="1">
      <alignment horizontal="center"/>
    </xf>
    <xf numFmtId="166" fontId="0" fillId="6" borderId="40" xfId="0" applyNumberForma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0" fillId="4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169" fontId="11" fillId="32" borderId="59" xfId="42" applyNumberFormat="1" applyFill="1" applyBorder="1" applyAlignment="1">
      <alignment horizontal="center"/>
    </xf>
    <xf numFmtId="1" fontId="34" fillId="0" borderId="57" xfId="42" applyNumberFormat="1" applyFont="1" applyFill="1" applyBorder="1" applyAlignment="1">
      <alignment horizontal="center"/>
    </xf>
    <xf numFmtId="0" fontId="11" fillId="0" borderId="0" xfId="0" applyFont="1" applyFill="1" applyAlignment="1"/>
    <xf numFmtId="0" fontId="11" fillId="0" borderId="0" xfId="0" applyFont="1" applyAlignment="1"/>
    <xf numFmtId="10" fontId="31" fillId="0" borderId="55" xfId="0" applyNumberFormat="1" applyFont="1" applyFill="1" applyBorder="1" applyAlignment="1">
      <alignment horizontal="center"/>
    </xf>
    <xf numFmtId="1" fontId="30" fillId="0" borderId="54" xfId="0" applyNumberFormat="1" applyFont="1" applyFill="1" applyBorder="1" applyAlignment="1">
      <alignment horizontal="center"/>
    </xf>
    <xf numFmtId="169" fontId="31" fillId="0" borderId="52" xfId="0" applyNumberFormat="1" applyFont="1" applyFill="1" applyBorder="1" applyAlignment="1">
      <alignment horizontal="center"/>
    </xf>
    <xf numFmtId="1" fontId="30" fillId="0" borderId="0" xfId="0" applyNumberFormat="1" applyFont="1" applyFill="1" applyBorder="1" applyAlignment="1">
      <alignment horizontal="center"/>
    </xf>
    <xf numFmtId="1" fontId="30" fillId="0" borderId="51" xfId="0" applyNumberFormat="1" applyFont="1" applyFill="1" applyBorder="1" applyAlignment="1">
      <alignment horizontal="center"/>
    </xf>
    <xf numFmtId="1" fontId="30" fillId="0" borderId="0" xfId="0" applyNumberFormat="1" applyFont="1" applyFill="1" applyAlignment="1"/>
    <xf numFmtId="169" fontId="11" fillId="32" borderId="60" xfId="42" applyNumberFormat="1" applyFill="1" applyBorder="1" applyAlignment="1">
      <alignment horizontal="center"/>
    </xf>
    <xf numFmtId="1" fontId="11" fillId="0" borderId="65" xfId="42" applyNumberFormat="1" applyFont="1" applyFill="1" applyBorder="1" applyAlignment="1">
      <alignment horizontal="center"/>
    </xf>
    <xf numFmtId="0" fontId="11" fillId="30" borderId="0" xfId="0" applyFont="1" applyFill="1" applyAlignment="1"/>
    <xf numFmtId="0" fontId="0" fillId="30" borderId="0" xfId="0" applyFill="1" applyAlignment="1"/>
    <xf numFmtId="10" fontId="31" fillId="0" borderId="56" xfId="0" applyNumberFormat="1" applyFont="1" applyFill="1" applyBorder="1" applyAlignment="1">
      <alignment horizontal="center"/>
    </xf>
    <xf numFmtId="1" fontId="30" fillId="0" borderId="55" xfId="0" applyNumberFormat="1" applyFont="1" applyFill="1" applyBorder="1" applyAlignment="1">
      <alignment horizontal="center"/>
    </xf>
    <xf numFmtId="169" fontId="31" fillId="0" borderId="0" xfId="0" applyNumberFormat="1" applyFont="1" applyFill="1" applyBorder="1" applyAlignment="1">
      <alignment horizontal="center"/>
    </xf>
    <xf numFmtId="1" fontId="30" fillId="0" borderId="53" xfId="0" applyNumberFormat="1" applyFont="1" applyFill="1" applyBorder="1" applyAlignment="1">
      <alignment horizontal="center"/>
    </xf>
    <xf numFmtId="3" fontId="31" fillId="0" borderId="70" xfId="0" applyNumberFormat="1" applyFont="1" applyFill="1" applyBorder="1" applyAlignment="1">
      <alignment horizontal="center"/>
    </xf>
    <xf numFmtId="1" fontId="30" fillId="0" borderId="50" xfId="0" applyNumberFormat="1" applyFont="1" applyFill="1" applyBorder="1" applyAlignment="1">
      <alignment horizontal="center"/>
    </xf>
    <xf numFmtId="1" fontId="31" fillId="0" borderId="0" xfId="0" applyNumberFormat="1" applyFont="1" applyFill="1" applyAlignment="1"/>
    <xf numFmtId="3" fontId="31" fillId="0" borderId="51" xfId="0" applyNumberFormat="1" applyFont="1" applyFill="1" applyBorder="1" applyAlignment="1">
      <alignment horizontal="center"/>
    </xf>
    <xf numFmtId="1" fontId="11" fillId="30" borderId="57" xfId="42" applyNumberFormat="1" applyFont="1" applyFill="1" applyBorder="1" applyAlignment="1">
      <alignment horizontal="center"/>
    </xf>
    <xf numFmtId="3" fontId="11" fillId="30" borderId="60" xfId="42" applyNumberFormat="1" applyFill="1" applyBorder="1" applyAlignment="1">
      <alignment horizontal="center"/>
    </xf>
    <xf numFmtId="3" fontId="11" fillId="30" borderId="57" xfId="42" applyNumberFormat="1" applyFill="1" applyBorder="1" applyAlignment="1">
      <alignment horizontal="center"/>
    </xf>
    <xf numFmtId="3" fontId="34" fillId="30" borderId="58" xfId="42" applyNumberFormat="1" applyFont="1" applyFill="1" applyBorder="1" applyAlignment="1">
      <alignment horizontal="center"/>
    </xf>
    <xf numFmtId="1" fontId="11" fillId="0" borderId="57" xfId="42" applyNumberFormat="1" applyFont="1" applyFill="1" applyBorder="1" applyAlignment="1">
      <alignment horizontal="center"/>
    </xf>
    <xf numFmtId="3" fontId="11" fillId="0" borderId="60" xfId="42" applyNumberFormat="1" applyFill="1" applyBorder="1" applyAlignment="1">
      <alignment horizontal="center"/>
    </xf>
    <xf numFmtId="3" fontId="11" fillId="0" borderId="60" xfId="42" applyNumberFormat="1" applyBorder="1" applyAlignment="1">
      <alignment horizontal="center"/>
    </xf>
    <xf numFmtId="3" fontId="11" fillId="0" borderId="66" xfId="42" applyNumberFormat="1" applyBorder="1" applyAlignment="1">
      <alignment horizontal="center"/>
    </xf>
    <xf numFmtId="3" fontId="11" fillId="0" borderId="57" xfId="42" applyNumberFormat="1" applyBorder="1" applyAlignment="1">
      <alignment horizontal="center"/>
    </xf>
    <xf numFmtId="3" fontId="11" fillId="0" borderId="54" xfId="42" applyNumberFormat="1" applyBorder="1" applyAlignment="1">
      <alignment horizontal="center"/>
    </xf>
    <xf numFmtId="1" fontId="34" fillId="0" borderId="0" xfId="42" applyNumberFormat="1" applyFont="1" applyBorder="1" applyAlignment="1">
      <alignment horizontal="center"/>
    </xf>
    <xf numFmtId="3" fontId="34" fillId="0" borderId="60" xfId="42" applyNumberFormat="1" applyFont="1" applyBorder="1" applyAlignment="1">
      <alignment horizontal="center"/>
    </xf>
    <xf numFmtId="3" fontId="34" fillId="0" borderId="58" xfId="42" applyNumberFormat="1" applyFont="1" applyBorder="1" applyAlignment="1">
      <alignment horizontal="center"/>
    </xf>
    <xf numFmtId="169" fontId="11" fillId="0" borderId="60" xfId="42" applyNumberFormat="1" applyBorder="1" applyAlignment="1">
      <alignment horizontal="center"/>
    </xf>
    <xf numFmtId="169" fontId="11" fillId="0" borderId="59" xfId="42" applyNumberFormat="1" applyBorder="1" applyAlignment="1">
      <alignment horizontal="center"/>
    </xf>
    <xf numFmtId="169" fontId="11" fillId="0" borderId="64" xfId="42" applyNumberFormat="1" applyBorder="1" applyAlignment="1">
      <alignment horizontal="center"/>
    </xf>
    <xf numFmtId="169" fontId="11" fillId="0" borderId="62" xfId="42" applyNumberFormat="1" applyBorder="1" applyAlignment="1">
      <alignment horizontal="center"/>
    </xf>
    <xf numFmtId="169" fontId="11" fillId="0" borderId="55" xfId="42" applyNumberFormat="1" applyBorder="1" applyAlignment="1">
      <alignment horizontal="center"/>
    </xf>
    <xf numFmtId="169" fontId="11" fillId="0" borderId="68" xfId="42" applyNumberFormat="1" applyBorder="1" applyAlignment="1">
      <alignment horizontal="center"/>
    </xf>
    <xf numFmtId="169" fontId="34" fillId="0" borderId="59" xfId="42" applyNumberFormat="1" applyFont="1" applyBorder="1" applyAlignment="1">
      <alignment horizontal="center"/>
    </xf>
    <xf numFmtId="169" fontId="34" fillId="0" borderId="60" xfId="42" applyNumberFormat="1" applyFont="1" applyBorder="1" applyAlignment="1">
      <alignment horizontal="center"/>
    </xf>
    <xf numFmtId="3" fontId="34" fillId="0" borderId="67" xfId="42" applyNumberFormat="1" applyFont="1" applyBorder="1" applyAlignment="1">
      <alignment horizontal="center"/>
    </xf>
    <xf numFmtId="3" fontId="11" fillId="0" borderId="57" xfId="42" applyNumberFormat="1" applyFill="1" applyBorder="1" applyAlignment="1">
      <alignment horizontal="center"/>
    </xf>
    <xf numFmtId="0" fontId="11" fillId="0" borderId="0" xfId="42" applyAlignment="1"/>
    <xf numFmtId="1" fontId="31" fillId="0" borderId="0" xfId="42" applyNumberFormat="1" applyFont="1" applyBorder="1" applyAlignment="1"/>
    <xf numFmtId="1" fontId="31" fillId="0" borderId="0" xfId="42" applyNumberFormat="1" applyFont="1" applyFill="1" applyBorder="1" applyAlignment="1"/>
    <xf numFmtId="1" fontId="31" fillId="0" borderId="0" xfId="42" applyNumberFormat="1" applyFont="1" applyAlignment="1"/>
    <xf numFmtId="1" fontId="31" fillId="0" borderId="0" xfId="42" applyNumberFormat="1" applyFont="1" applyFill="1" applyAlignment="1"/>
    <xf numFmtId="3" fontId="34" fillId="0" borderId="58" xfId="42" applyNumberFormat="1" applyFont="1" applyFill="1" applyBorder="1" applyAlignment="1">
      <alignment horizontal="center"/>
    </xf>
    <xf numFmtId="1" fontId="11" fillId="0" borderId="61" xfId="42" applyNumberFormat="1" applyFont="1" applyFill="1" applyBorder="1" applyAlignment="1">
      <alignment horizontal="center"/>
    </xf>
    <xf numFmtId="3" fontId="11" fillId="0" borderId="62" xfId="42" applyNumberFormat="1" applyFill="1" applyBorder="1" applyAlignment="1">
      <alignment horizontal="center"/>
    </xf>
    <xf numFmtId="3" fontId="11" fillId="0" borderId="61" xfId="42" applyNumberFormat="1" applyFill="1" applyBorder="1" applyAlignment="1">
      <alignment horizontal="center"/>
    </xf>
    <xf numFmtId="3" fontId="34" fillId="0" borderId="63" xfId="42" applyNumberFormat="1" applyFont="1" applyFill="1" applyBorder="1" applyAlignment="1">
      <alignment horizontal="center"/>
    </xf>
    <xf numFmtId="1" fontId="11" fillId="33" borderId="71" xfId="0" applyNumberFormat="1" applyFont="1" applyFill="1" applyBorder="1" applyAlignment="1">
      <alignment horizontal="center" vertical="center"/>
    </xf>
    <xf numFmtId="1" fontId="11" fillId="33" borderId="57" xfId="0" applyNumberFormat="1" applyFont="1" applyFill="1" applyBorder="1" applyAlignment="1">
      <alignment horizontal="right" vertical="center"/>
    </xf>
    <xf numFmtId="0" fontId="11" fillId="33" borderId="59" xfId="0" applyFont="1" applyFill="1" applyBorder="1" applyAlignment="1">
      <alignment horizontal="right" vertical="center"/>
    </xf>
    <xf numFmtId="1" fontId="33" fillId="33" borderId="59" xfId="0" applyNumberFormat="1" applyFont="1" applyFill="1" applyBorder="1" applyAlignment="1">
      <alignment horizontal="left" vertical="center"/>
    </xf>
    <xf numFmtId="1" fontId="33" fillId="33" borderId="69" xfId="0" applyNumberFormat="1" applyFont="1" applyFill="1" applyBorder="1" applyAlignment="1">
      <alignment horizontal="left" vertical="center"/>
    </xf>
    <xf numFmtId="1" fontId="11" fillId="33" borderId="72" xfId="0" applyNumberFormat="1" applyFont="1" applyFill="1" applyBorder="1" applyAlignment="1">
      <alignment horizontal="center" vertical="center"/>
    </xf>
    <xf numFmtId="1" fontId="11" fillId="33" borderId="71" xfId="38" applyNumberFormat="1" applyFont="1" applyFill="1" applyBorder="1" applyAlignment="1" applyProtection="1">
      <alignment horizontal="center" vertical="center"/>
    </xf>
    <xf numFmtId="1" fontId="34" fillId="33" borderId="73" xfId="38" applyNumberFormat="1" applyFont="1" applyFill="1" applyBorder="1" applyAlignment="1" applyProtection="1">
      <alignment horizontal="center" vertical="center"/>
    </xf>
    <xf numFmtId="1" fontId="11" fillId="33" borderId="74" xfId="0" applyNumberFormat="1" applyFont="1" applyFill="1" applyBorder="1" applyAlignment="1">
      <alignment horizontal="center" vertical="center"/>
    </xf>
    <xf numFmtId="1" fontId="11" fillId="33" borderId="69" xfId="0" applyNumberFormat="1" applyFont="1" applyFill="1" applyBorder="1" applyAlignment="1">
      <alignment horizontal="center" vertical="center"/>
    </xf>
    <xf numFmtId="1" fontId="11" fillId="33" borderId="66" xfId="0" applyNumberFormat="1" applyFont="1" applyFill="1" applyBorder="1" applyAlignment="1">
      <alignment horizontal="center" vertical="center"/>
    </xf>
    <xf numFmtId="1" fontId="11" fillId="33" borderId="66" xfId="38" applyNumberFormat="1" applyFont="1" applyFill="1" applyBorder="1" applyAlignment="1" applyProtection="1">
      <alignment horizontal="center" vertical="center"/>
    </xf>
    <xf numFmtId="1" fontId="34" fillId="33" borderId="67" xfId="38" applyNumberFormat="1" applyFont="1" applyFill="1" applyBorder="1" applyAlignment="1" applyProtection="1">
      <alignment horizontal="center" vertical="center"/>
    </xf>
    <xf numFmtId="1" fontId="11" fillId="33" borderId="60" xfId="0" applyNumberFormat="1" applyFont="1" applyFill="1" applyBorder="1" applyAlignment="1">
      <alignment horizontal="center" vertical="center"/>
    </xf>
    <xf numFmtId="1" fontId="30" fillId="33" borderId="50" xfId="0" applyNumberFormat="1" applyFont="1" applyFill="1" applyBorder="1" applyAlignment="1">
      <alignment horizontal="left"/>
    </xf>
    <xf numFmtId="1" fontId="31" fillId="33" borderId="51" xfId="0" applyNumberFormat="1" applyFont="1" applyFill="1" applyBorder="1" applyAlignment="1">
      <alignment horizontal="left"/>
    </xf>
    <xf numFmtId="1" fontId="31" fillId="33" borderId="51" xfId="0" applyNumberFormat="1" applyFont="1" applyFill="1" applyBorder="1" applyAlignment="1"/>
    <xf numFmtId="1" fontId="32" fillId="33" borderId="51" xfId="0" applyNumberFormat="1" applyFont="1" applyFill="1" applyBorder="1" applyAlignment="1">
      <alignment horizontal="center"/>
    </xf>
    <xf numFmtId="1" fontId="32" fillId="33" borderId="70" xfId="0" applyNumberFormat="1" applyFont="1" applyFill="1" applyBorder="1" applyAlignment="1">
      <alignment horizontal="center"/>
    </xf>
    <xf numFmtId="1" fontId="30" fillId="33" borderId="0" xfId="0" applyNumberFormat="1" applyFont="1" applyFill="1" applyBorder="1" applyAlignment="1">
      <alignment horizontal="left" vertical="center"/>
    </xf>
    <xf numFmtId="1" fontId="31" fillId="33" borderId="0" xfId="0" applyNumberFormat="1" applyFont="1" applyFill="1" applyBorder="1" applyAlignment="1">
      <alignment horizontal="left" vertical="center"/>
    </xf>
    <xf numFmtId="1" fontId="31" fillId="33" borderId="52" xfId="0" applyNumberFormat="1" applyFont="1" applyFill="1" applyBorder="1" applyAlignment="1">
      <alignment horizontal="left" vertical="center"/>
    </xf>
    <xf numFmtId="1" fontId="30" fillId="33" borderId="0" xfId="0" applyNumberFormat="1" applyFont="1" applyFill="1" applyBorder="1" applyAlignment="1">
      <alignment horizontal="right"/>
    </xf>
    <xf numFmtId="1" fontId="0" fillId="33" borderId="0" xfId="0" applyNumberFormat="1" applyFill="1" applyBorder="1" applyAlignment="1"/>
    <xf numFmtId="1" fontId="0" fillId="33" borderId="52" xfId="0" applyNumberFormat="1" applyFill="1" applyBorder="1" applyAlignment="1"/>
    <xf numFmtId="1" fontId="30" fillId="33" borderId="53" xfId="0" applyNumberFormat="1" applyFont="1" applyFill="1" applyBorder="1" applyAlignment="1">
      <alignment horizontal="left"/>
    </xf>
    <xf numFmtId="1" fontId="31" fillId="33" borderId="0" xfId="0" applyNumberFormat="1" applyFont="1" applyFill="1" applyBorder="1" applyAlignment="1">
      <alignment horizontal="left"/>
    </xf>
    <xf numFmtId="1" fontId="31" fillId="33" borderId="0" xfId="0" applyNumberFormat="1" applyFont="1" applyFill="1" applyBorder="1" applyAlignment="1"/>
    <xf numFmtId="1" fontId="32" fillId="33" borderId="0" xfId="0" applyNumberFormat="1" applyFont="1" applyFill="1" applyBorder="1" applyAlignment="1">
      <alignment horizontal="center"/>
    </xf>
    <xf numFmtId="1" fontId="32" fillId="33" borderId="52" xfId="0" applyNumberFormat="1" applyFont="1" applyFill="1" applyBorder="1" applyAlignment="1">
      <alignment horizontal="center"/>
    </xf>
    <xf numFmtId="170" fontId="31" fillId="33" borderId="0" xfId="0" applyNumberFormat="1" applyFont="1" applyFill="1" applyBorder="1" applyAlignment="1">
      <alignment horizontal="left"/>
    </xf>
    <xf numFmtId="170" fontId="31" fillId="33" borderId="0" xfId="0" applyNumberFormat="1" applyFont="1" applyFill="1" applyBorder="1" applyAlignment="1"/>
    <xf numFmtId="1" fontId="31" fillId="33" borderId="52" xfId="0" applyNumberFormat="1" applyFont="1" applyFill="1" applyBorder="1" applyAlignment="1">
      <alignment horizontal="center"/>
    </xf>
    <xf numFmtId="1" fontId="30" fillId="33" borderId="54" xfId="0" applyNumberFormat="1" applyFont="1" applyFill="1" applyBorder="1" applyAlignment="1">
      <alignment horizontal="left"/>
    </xf>
    <xf numFmtId="170" fontId="31" fillId="33" borderId="55" xfId="0" applyNumberFormat="1" applyFont="1" applyFill="1" applyBorder="1" applyAlignment="1">
      <alignment horizontal="left"/>
    </xf>
    <xf numFmtId="170" fontId="31" fillId="33" borderId="55" xfId="0" applyNumberFormat="1" applyFont="1" applyFill="1" applyBorder="1" applyAlignment="1"/>
    <xf numFmtId="1" fontId="30" fillId="33" borderId="55" xfId="0" applyNumberFormat="1" applyFont="1" applyFill="1" applyBorder="1" applyAlignment="1">
      <alignment horizontal="left"/>
    </xf>
    <xf numFmtId="1" fontId="31" fillId="33" borderId="55" xfId="0" applyNumberFormat="1" applyFont="1" applyFill="1" applyBorder="1" applyAlignment="1"/>
    <xf numFmtId="1" fontId="0" fillId="33" borderId="55" xfId="0" applyNumberFormat="1" applyFill="1" applyBorder="1" applyAlignment="1"/>
    <xf numFmtId="1" fontId="0" fillId="33" borderId="56" xfId="0" applyNumberFormat="1" applyFill="1" applyBorder="1" applyAlignment="1"/>
    <xf numFmtId="0" fontId="0" fillId="31" borderId="0" xfId="0" applyFill="1" applyAlignment="1"/>
    <xf numFmtId="0" fontId="11" fillId="0" borderId="0" xfId="0" applyFont="1"/>
    <xf numFmtId="0" fontId="34" fillId="0" borderId="0" xfId="0" applyFont="1"/>
    <xf numFmtId="0" fontId="0" fillId="34" borderId="0" xfId="0" applyFill="1"/>
    <xf numFmtId="0" fontId="4" fillId="34" borderId="1" xfId="0" applyFont="1" applyFill="1" applyBorder="1"/>
    <xf numFmtId="3" fontId="0" fillId="35" borderId="0" xfId="0" applyNumberFormat="1" applyFill="1"/>
    <xf numFmtId="3" fontId="0" fillId="36" borderId="0" xfId="0" applyNumberFormat="1" applyFill="1"/>
    <xf numFmtId="3" fontId="0" fillId="36" borderId="1" xfId="0" applyNumberFormat="1" applyFill="1" applyBorder="1"/>
    <xf numFmtId="165" fontId="4" fillId="34" borderId="0" xfId="2" applyNumberFormat="1" applyFont="1" applyFill="1" applyBorder="1" applyAlignment="1" applyProtection="1"/>
    <xf numFmtId="9" fontId="4" fillId="34" borderId="0" xfId="2" applyFont="1" applyFill="1" applyBorder="1" applyAlignment="1" applyProtection="1"/>
    <xf numFmtId="166" fontId="0" fillId="37" borderId="0" xfId="0" applyNumberFormat="1" applyFill="1"/>
    <xf numFmtId="166" fontId="0" fillId="38" borderId="0" xfId="0" applyNumberFormat="1" applyFill="1"/>
    <xf numFmtId="1" fontId="0" fillId="38" borderId="0" xfId="0" applyNumberFormat="1" applyFill="1"/>
    <xf numFmtId="14" fontId="2" fillId="0" borderId="0" xfId="0" applyNumberFormat="1" applyFont="1" applyAlignment="1">
      <alignment horizontal="left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33" xfId="0" applyFont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32" xfId="0" applyBorder="1" applyAlignment="1">
      <alignment horizontal="right"/>
    </xf>
    <xf numFmtId="0" fontId="4" fillId="0" borderId="0" xfId="0" applyFont="1" applyFill="1"/>
  </cellXfs>
  <cellStyles count="100">
    <cellStyle name="20% - Accent1 2" xfId="51"/>
    <cellStyle name="20% - Accent1 3" xfId="4"/>
    <cellStyle name="20% - Accent2 2" xfId="52"/>
    <cellStyle name="20% - Accent2 3" xfId="5"/>
    <cellStyle name="20% - Accent3 2" xfId="53"/>
    <cellStyle name="20% - Accent3 3" xfId="6"/>
    <cellStyle name="20% - Accent4 2" xfId="54"/>
    <cellStyle name="20% - Accent4 3" xfId="7"/>
    <cellStyle name="20% - Accent5 2" xfId="55"/>
    <cellStyle name="20% - Accent5 3" xfId="8"/>
    <cellStyle name="20% - Accent6 2" xfId="56"/>
    <cellStyle name="20% - Accent6 3" xfId="9"/>
    <cellStyle name="40% - Accent1 2" xfId="57"/>
    <cellStyle name="40% - Accent1 3" xfId="10"/>
    <cellStyle name="40% - Accent2 2" xfId="58"/>
    <cellStyle name="40% - Accent2 3" xfId="11"/>
    <cellStyle name="40% - Accent3 2" xfId="59"/>
    <cellStyle name="40% - Accent3 3" xfId="12"/>
    <cellStyle name="40% - Accent4 2" xfId="60"/>
    <cellStyle name="40% - Accent4 3" xfId="13"/>
    <cellStyle name="40% - Accent5 2" xfId="61"/>
    <cellStyle name="40% - Accent5 3" xfId="14"/>
    <cellStyle name="40% - Accent6 2" xfId="62"/>
    <cellStyle name="40% - Accent6 3" xfId="15"/>
    <cellStyle name="60% - Accent1 2" xfId="63"/>
    <cellStyle name="60% - Accent1 3" xfId="16"/>
    <cellStyle name="60% - Accent2 2" xfId="64"/>
    <cellStyle name="60% - Accent2 3" xfId="17"/>
    <cellStyle name="60% - Accent3 2" xfId="65"/>
    <cellStyle name="60% - Accent3 3" xfId="18"/>
    <cellStyle name="60% - Accent4 2" xfId="66"/>
    <cellStyle name="60% - Accent4 3" xfId="19"/>
    <cellStyle name="60% - Accent5 2" xfId="67"/>
    <cellStyle name="60% - Accent5 3" xfId="20"/>
    <cellStyle name="60% - Accent6 2" xfId="68"/>
    <cellStyle name="60% - Accent6 3" xfId="21"/>
    <cellStyle name="Accent1 2" xfId="49"/>
    <cellStyle name="Accent1 3" xfId="69"/>
    <cellStyle name="Accent1 4" xfId="22"/>
    <cellStyle name="Accent2 2" xfId="70"/>
    <cellStyle name="Accent2 3" xfId="23"/>
    <cellStyle name="Accent3 2" xfId="71"/>
    <cellStyle name="Accent3 3" xfId="24"/>
    <cellStyle name="Accent4 2" xfId="72"/>
    <cellStyle name="Accent4 3" xfId="25"/>
    <cellStyle name="Accent5 2" xfId="73"/>
    <cellStyle name="Accent5 3" xfId="26"/>
    <cellStyle name="Accent6 2" xfId="74"/>
    <cellStyle name="Accent6 3" xfId="27"/>
    <cellStyle name="Bad 2" xfId="75"/>
    <cellStyle name="Bad 3" xfId="28"/>
    <cellStyle name="Calculation 2" xfId="76"/>
    <cellStyle name="Calculation 3" xfId="29"/>
    <cellStyle name="Check Cell 2" xfId="77"/>
    <cellStyle name="Check Cell 3" xfId="30"/>
    <cellStyle name="Comma" xfId="1" builtinId="3"/>
    <cellStyle name="Comma 2" xfId="78"/>
    <cellStyle name="Comma 3" xfId="31"/>
    <cellStyle name="Explanatory Text 2" xfId="79"/>
    <cellStyle name="Explanatory Text 3" xfId="32"/>
    <cellStyle name="Good 2" xfId="80"/>
    <cellStyle name="Good 3" xfId="33"/>
    <cellStyle name="Heading 1 2" xfId="81"/>
    <cellStyle name="Heading 1 3" xfId="34"/>
    <cellStyle name="Heading 2 2" xfId="82"/>
    <cellStyle name="Heading 2 3" xfId="35"/>
    <cellStyle name="Heading 3 2" xfId="83"/>
    <cellStyle name="Heading 3 3" xfId="36"/>
    <cellStyle name="Heading 4 2" xfId="84"/>
    <cellStyle name="Heading 4 3" xfId="37"/>
    <cellStyle name="Hyperlink" xfId="38" builtinId="8"/>
    <cellStyle name="Hyperlink 2" xfId="50"/>
    <cellStyle name="Hyperlink 3" xfId="85"/>
    <cellStyle name="Hyperlink 4" xfId="99"/>
    <cellStyle name="Input 2" xfId="86"/>
    <cellStyle name="Input 3" xfId="39"/>
    <cellStyle name="Linked Cell 2" xfId="87"/>
    <cellStyle name="Linked Cell 3" xfId="40"/>
    <cellStyle name="Neutral 2" xfId="88"/>
    <cellStyle name="Neutral 3" xfId="41"/>
    <cellStyle name="Normal" xfId="0" builtinId="0"/>
    <cellStyle name="Normal 2" xfId="42"/>
    <cellStyle name="Normal 2 2" xfId="98"/>
    <cellStyle name="Normal 3" xfId="89"/>
    <cellStyle name="Normal 4" xfId="96"/>
    <cellStyle name="Normal 5" xfId="3"/>
    <cellStyle name="Note 2" xfId="90"/>
    <cellStyle name="Note 3" xfId="43"/>
    <cellStyle name="Output 2" xfId="91"/>
    <cellStyle name="Output 3" xfId="44"/>
    <cellStyle name="Percent" xfId="2" builtinId="5"/>
    <cellStyle name="Percent 2" xfId="92"/>
    <cellStyle name="Percent 3" xfId="97"/>
    <cellStyle name="Percent 4" xfId="45"/>
    <cellStyle name="Title 2" xfId="93"/>
    <cellStyle name="Title 3" xfId="46"/>
    <cellStyle name="Total 2" xfId="94"/>
    <cellStyle name="Total 3" xfId="47"/>
    <cellStyle name="Warning Text 2" xfId="95"/>
    <cellStyle name="Warning Text 3" xfId="48"/>
  </cellStyles>
  <dxfs count="2">
    <dxf>
      <font>
        <color indexed="9"/>
      </font>
    </dxf>
    <dxf>
      <font>
        <color indexed="9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ADC5E7"/>
      <rgbColor rgb="FF993366"/>
      <rgbColor rgb="FFFFF9AE"/>
      <rgbColor rgb="FFCCEC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99CCFF"/>
      <rgbColor rgb="FFFF99CC"/>
      <rgbColor rgb="FFCC99FF"/>
      <rgbColor rgb="FFCC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FF"/>
      <color rgb="FF99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19050</xdr:rowOff>
    </xdr:to>
    <xdr:sp macro="" textlink="">
      <xdr:nvSpPr>
        <xdr:cNvPr id="102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:\E:\C:\T17\T17%20INTERFACE%20v1_9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nForms"/>
      <sheetName val="RoadInfo"/>
      <sheetName val="Road Strip Map"/>
      <sheetName val="LLHwsht"/>
      <sheetName val="RODwsht"/>
      <sheetName val="OBSwsht"/>
      <sheetName val="TRFwsht"/>
      <sheetName val="Dir1_IntObs"/>
      <sheetName val="Dir2_IntObs"/>
      <sheetName val="Chart_Prof_85"/>
      <sheetName val="Chart_Prof_ALT"/>
      <sheetName val="Chart_Prof_SD"/>
      <sheetName val="ChartRODdata"/>
      <sheetName val="GIFcontainer"/>
      <sheetName val="Dir1_PFoll_Speed"/>
      <sheetName val="Dir2_PFoll_Speed"/>
      <sheetName val="Chart_MSP"/>
      <sheetName val="Chart_IntObs"/>
      <sheetName val="Chart_PFoll"/>
      <sheetName val="ChartData"/>
      <sheetName val="Model_Output"/>
      <sheetName val="Average"/>
      <sheetName val="Formatted_Averages"/>
      <sheetName val="Formatted_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9"/>
  <sheetViews>
    <sheetView tabSelected="1" zoomScaleNormal="100" workbookViewId="0"/>
  </sheetViews>
  <sheetFormatPr defaultRowHeight="12.75" x14ac:dyDescent="0.2"/>
  <cols>
    <col min="1" max="1" width="5.140625" customWidth="1"/>
    <col min="2" max="2" width="10.7109375" customWidth="1"/>
    <col min="3" max="1025" width="8.7109375" customWidth="1"/>
  </cols>
  <sheetData>
    <row r="1" spans="1:2" s="1" customFormat="1" ht="15.75" x14ac:dyDescent="0.25">
      <c r="B1" s="2" t="s">
        <v>0</v>
      </c>
    </row>
    <row r="2" spans="1:2" s="1" customFormat="1" x14ac:dyDescent="0.2">
      <c r="A2" s="1" t="s">
        <v>274</v>
      </c>
      <c r="B2" s="211">
        <v>43245</v>
      </c>
    </row>
    <row r="3" spans="1:2" s="1" customFormat="1" x14ac:dyDescent="0.2">
      <c r="A3" s="1" t="s">
        <v>1</v>
      </c>
      <c r="B3" s="1" t="s">
        <v>2</v>
      </c>
    </row>
    <row r="4" spans="1:2" x14ac:dyDescent="0.2">
      <c r="A4">
        <v>1</v>
      </c>
      <c r="B4" s="3" t="s">
        <v>268</v>
      </c>
    </row>
    <row r="5" spans="1:2" x14ac:dyDescent="0.2">
      <c r="A5">
        <v>2</v>
      </c>
      <c r="B5" s="3" t="s">
        <v>269</v>
      </c>
    </row>
    <row r="6" spans="1:2" x14ac:dyDescent="0.2">
      <c r="A6">
        <v>3</v>
      </c>
      <c r="B6" s="3" t="s">
        <v>276</v>
      </c>
    </row>
    <row r="7" spans="1:2" x14ac:dyDescent="0.2">
      <c r="A7">
        <v>4</v>
      </c>
      <c r="B7" s="3" t="s">
        <v>3</v>
      </c>
    </row>
    <row r="8" spans="1:2" x14ac:dyDescent="0.2">
      <c r="A8">
        <v>5</v>
      </c>
      <c r="B8" s="3" t="s">
        <v>4</v>
      </c>
    </row>
    <row r="9" spans="1:2" x14ac:dyDescent="0.2">
      <c r="A9">
        <v>6</v>
      </c>
      <c r="B9" t="s">
        <v>5</v>
      </c>
    </row>
    <row r="10" spans="1:2" x14ac:dyDescent="0.2">
      <c r="A10">
        <v>7</v>
      </c>
      <c r="B10" t="s">
        <v>6</v>
      </c>
    </row>
    <row r="11" spans="1:2" x14ac:dyDescent="0.2">
      <c r="A11">
        <v>8</v>
      </c>
      <c r="B11" s="3" t="s">
        <v>7</v>
      </c>
    </row>
    <row r="16" spans="1:2" x14ac:dyDescent="0.2">
      <c r="A16" s="1" t="s">
        <v>8</v>
      </c>
    </row>
    <row r="17" spans="1:2" x14ac:dyDescent="0.2">
      <c r="B17" s="3" t="s">
        <v>9</v>
      </c>
    </row>
    <row r="18" spans="1:2" x14ac:dyDescent="0.2">
      <c r="B18" s="3" t="s">
        <v>10</v>
      </c>
    </row>
    <row r="19" spans="1:2" x14ac:dyDescent="0.2">
      <c r="B19" s="3" t="s">
        <v>11</v>
      </c>
    </row>
    <row r="20" spans="1:2" x14ac:dyDescent="0.2">
      <c r="B20" s="3" t="s">
        <v>12</v>
      </c>
    </row>
    <row r="21" spans="1:2" x14ac:dyDescent="0.2">
      <c r="B21" s="3" t="s">
        <v>13</v>
      </c>
    </row>
    <row r="22" spans="1:2" x14ac:dyDescent="0.2">
      <c r="B22" s="3" t="s">
        <v>14</v>
      </c>
    </row>
    <row r="23" spans="1:2" x14ac:dyDescent="0.2">
      <c r="B23" s="3" t="s">
        <v>15</v>
      </c>
    </row>
    <row r="24" spans="1:2" x14ac:dyDescent="0.2">
      <c r="B24" s="3" t="s">
        <v>16</v>
      </c>
    </row>
    <row r="25" spans="1:2" x14ac:dyDescent="0.2">
      <c r="B25" s="3" t="s">
        <v>17</v>
      </c>
    </row>
    <row r="30" spans="1:2" x14ac:dyDescent="0.2">
      <c r="A30" s="200" t="s">
        <v>256</v>
      </c>
    </row>
    <row r="31" spans="1:2" x14ac:dyDescent="0.2">
      <c r="B31" s="199" t="s">
        <v>257</v>
      </c>
    </row>
    <row r="32" spans="1:2" x14ac:dyDescent="0.2">
      <c r="B32" s="199" t="s">
        <v>267</v>
      </c>
    </row>
    <row r="33" spans="1:2" x14ac:dyDescent="0.2">
      <c r="B33" s="199" t="s">
        <v>258</v>
      </c>
    </row>
    <row r="34" spans="1:2" x14ac:dyDescent="0.2">
      <c r="B34" s="199" t="s">
        <v>259</v>
      </c>
    </row>
    <row r="35" spans="1:2" x14ac:dyDescent="0.2">
      <c r="B35" s="199" t="s">
        <v>260</v>
      </c>
    </row>
    <row r="36" spans="1:2" x14ac:dyDescent="0.2">
      <c r="B36" s="199" t="s">
        <v>261</v>
      </c>
    </row>
    <row r="37" spans="1:2" x14ac:dyDescent="0.2">
      <c r="B37" s="200" t="s">
        <v>265</v>
      </c>
    </row>
    <row r="38" spans="1:2" x14ac:dyDescent="0.2">
      <c r="B38" s="199" t="s">
        <v>262</v>
      </c>
    </row>
    <row r="39" spans="1:2" x14ac:dyDescent="0.2">
      <c r="B39" s="199" t="s">
        <v>263</v>
      </c>
    </row>
    <row r="40" spans="1:2" x14ac:dyDescent="0.2">
      <c r="B40" s="199" t="s">
        <v>264</v>
      </c>
    </row>
    <row r="41" spans="1:2" x14ac:dyDescent="0.2">
      <c r="B41" s="199" t="s">
        <v>266</v>
      </c>
    </row>
    <row r="46" spans="1:2" x14ac:dyDescent="0.2">
      <c r="A46" s="200" t="s">
        <v>270</v>
      </c>
    </row>
    <row r="47" spans="1:2" x14ac:dyDescent="0.2">
      <c r="B47" s="199" t="s">
        <v>271</v>
      </c>
    </row>
    <row r="48" spans="1:2" x14ac:dyDescent="0.2">
      <c r="B48" s="199" t="s">
        <v>272</v>
      </c>
    </row>
    <row r="49" spans="2:2" x14ac:dyDescent="0.2">
      <c r="B49" s="199" t="s">
        <v>273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3"/>
  <sheetViews>
    <sheetView zoomScaleNormal="100" workbookViewId="0"/>
  </sheetViews>
  <sheetFormatPr defaultRowHeight="12.75" x14ac:dyDescent="0.2"/>
  <cols>
    <col min="1" max="1" width="13.28515625" customWidth="1"/>
    <col min="2" max="1025" width="9.140625" customWidth="1"/>
  </cols>
  <sheetData>
    <row r="1" spans="1:2" x14ac:dyDescent="0.2">
      <c r="A1" s="1" t="s">
        <v>18</v>
      </c>
    </row>
    <row r="3" spans="1:2" x14ac:dyDescent="0.2">
      <c r="A3" t="s">
        <v>19</v>
      </c>
      <c r="B3">
        <v>1</v>
      </c>
    </row>
    <row r="4" spans="1:2" x14ac:dyDescent="0.2">
      <c r="A4" t="s">
        <v>20</v>
      </c>
      <c r="B4" s="201">
        <v>10000</v>
      </c>
    </row>
    <row r="5" spans="1:2" x14ac:dyDescent="0.2">
      <c r="A5" s="1" t="s">
        <v>21</v>
      </c>
      <c r="B5" s="4">
        <v>17656</v>
      </c>
    </row>
    <row r="6" spans="1:2" x14ac:dyDescent="0.2">
      <c r="A6" t="s">
        <v>22</v>
      </c>
      <c r="B6">
        <v>0</v>
      </c>
    </row>
    <row r="7" spans="1:2" x14ac:dyDescent="0.2">
      <c r="A7" t="s">
        <v>23</v>
      </c>
      <c r="B7">
        <v>100</v>
      </c>
    </row>
    <row r="8" spans="1:2" x14ac:dyDescent="0.2">
      <c r="A8" t="s">
        <v>24</v>
      </c>
      <c r="B8">
        <v>100</v>
      </c>
    </row>
    <row r="9" spans="1:2" x14ac:dyDescent="0.2">
      <c r="A9" s="1" t="s">
        <v>25</v>
      </c>
      <c r="B9" s="201">
        <v>50</v>
      </c>
    </row>
    <row r="10" spans="1:2" x14ac:dyDescent="0.2">
      <c r="A10" s="1" t="s">
        <v>26</v>
      </c>
      <c r="B10" s="201">
        <v>50</v>
      </c>
    </row>
    <row r="11" spans="1:2" x14ac:dyDescent="0.2">
      <c r="A11" t="s">
        <v>27</v>
      </c>
      <c r="B11">
        <v>6</v>
      </c>
    </row>
    <row r="12" spans="1:2" x14ac:dyDescent="0.2">
      <c r="A12" t="s">
        <v>28</v>
      </c>
    </row>
    <row r="13" spans="1:2" x14ac:dyDescent="0.2">
      <c r="A13" t="s">
        <v>29</v>
      </c>
      <c r="B13">
        <v>0</v>
      </c>
    </row>
    <row r="16" spans="1:2" x14ac:dyDescent="0.2">
      <c r="A16" s="1" t="s">
        <v>30</v>
      </c>
      <c r="B16" s="201" t="s">
        <v>275</v>
      </c>
    </row>
    <row r="19" spans="1:6" x14ac:dyDescent="0.2">
      <c r="A19" s="1" t="s">
        <v>31</v>
      </c>
      <c r="B19" s="1" t="s">
        <v>32</v>
      </c>
    </row>
    <row r="20" spans="1:6" x14ac:dyDescent="0.2">
      <c r="A20" t="s">
        <v>33</v>
      </c>
      <c r="B20" s="201" t="s">
        <v>34</v>
      </c>
    </row>
    <row r="21" spans="1:6" x14ac:dyDescent="0.2">
      <c r="A21" t="s">
        <v>35</v>
      </c>
      <c r="B21" s="201" t="s">
        <v>36</v>
      </c>
    </row>
    <row r="24" spans="1:6" x14ac:dyDescent="0.2">
      <c r="A24" s="1" t="s">
        <v>37</v>
      </c>
      <c r="B24" s="1" t="s">
        <v>38</v>
      </c>
      <c r="C24" s="1" t="s">
        <v>39</v>
      </c>
      <c r="D24" s="1" t="s">
        <v>33</v>
      </c>
      <c r="E24" s="1" t="s">
        <v>35</v>
      </c>
    </row>
    <row r="25" spans="1:6" x14ac:dyDescent="0.2">
      <c r="A25" s="5">
        <v>0</v>
      </c>
      <c r="B25" s="201" t="s">
        <v>40</v>
      </c>
      <c r="C25" s="6">
        <f t="shared" ref="C25:C48" ca="1" si="0">SUM(D25:E25)</f>
        <v>14</v>
      </c>
      <c r="D25" s="203">
        <f ca="1">SUM(INDIRECT(B20&amp;":N14"))</f>
        <v>7</v>
      </c>
      <c r="E25" s="203">
        <f>SUM(DIR2count!C14:N14)</f>
        <v>7</v>
      </c>
      <c r="F25" s="7"/>
    </row>
    <row r="26" spans="1:6" x14ac:dyDescent="0.2">
      <c r="A26" s="5">
        <v>4.1666666666666699E-2</v>
      </c>
      <c r="B26" s="201" t="s">
        <v>40</v>
      </c>
      <c r="C26" s="6">
        <f t="shared" si="0"/>
        <v>12</v>
      </c>
      <c r="D26" s="203">
        <f>SUM(DIR1count!C15:N15)</f>
        <v>6</v>
      </c>
      <c r="E26" s="203">
        <f>SUM(DIR2count!C15:N15)</f>
        <v>6</v>
      </c>
    </row>
    <row r="27" spans="1:6" x14ac:dyDescent="0.2">
      <c r="A27" s="5">
        <v>8.3333333333333301E-2</v>
      </c>
      <c r="B27" s="201" t="s">
        <v>40</v>
      </c>
      <c r="C27" s="6">
        <f t="shared" si="0"/>
        <v>15</v>
      </c>
      <c r="D27" s="203">
        <f>SUM(DIR1count!C16:N16)</f>
        <v>11</v>
      </c>
      <c r="E27" s="203">
        <f>SUM(DIR2count!C16:N16)</f>
        <v>4</v>
      </c>
    </row>
    <row r="28" spans="1:6" x14ac:dyDescent="0.2">
      <c r="A28" s="5">
        <v>0.125</v>
      </c>
      <c r="B28" s="201" t="s">
        <v>40</v>
      </c>
      <c r="C28" s="6">
        <f t="shared" si="0"/>
        <v>14</v>
      </c>
      <c r="D28" s="203">
        <f>SUM(DIR1count!C17:N17)</f>
        <v>9</v>
      </c>
      <c r="E28" s="203">
        <f>SUM(DIR2count!C17:N17)</f>
        <v>5</v>
      </c>
    </row>
    <row r="29" spans="1:6" x14ac:dyDescent="0.2">
      <c r="A29" s="5">
        <v>0.16666666666666699</v>
      </c>
      <c r="B29" s="201" t="s">
        <v>40</v>
      </c>
      <c r="C29" s="6">
        <f t="shared" si="0"/>
        <v>18</v>
      </c>
      <c r="D29" s="203">
        <f>SUM(DIR1count!C18:N18)</f>
        <v>10</v>
      </c>
      <c r="E29" s="203">
        <f>SUM(DIR2count!C18:N18)</f>
        <v>8</v>
      </c>
    </row>
    <row r="30" spans="1:6" x14ac:dyDescent="0.2">
      <c r="A30" s="5">
        <v>0.20833333333333301</v>
      </c>
      <c r="B30" s="201" t="s">
        <v>40</v>
      </c>
      <c r="C30" s="6">
        <f t="shared" si="0"/>
        <v>37</v>
      </c>
      <c r="D30" s="203">
        <f>SUM(DIR1count!C19:N19)</f>
        <v>18</v>
      </c>
      <c r="E30" s="203">
        <f>SUM(DIR2count!C19:N19)</f>
        <v>19</v>
      </c>
    </row>
    <row r="31" spans="1:6" x14ac:dyDescent="0.2">
      <c r="A31" s="8">
        <v>0.25</v>
      </c>
      <c r="B31" s="201" t="s">
        <v>41</v>
      </c>
      <c r="C31" s="7">
        <f t="shared" si="0"/>
        <v>76</v>
      </c>
      <c r="D31" s="204">
        <f>SUM(DIR1count!C20:N20)</f>
        <v>46</v>
      </c>
      <c r="E31" s="204">
        <f>SUM(DIR2count!C20:N20)</f>
        <v>30</v>
      </c>
    </row>
    <row r="32" spans="1:6" x14ac:dyDescent="0.2">
      <c r="A32" s="8">
        <v>0.29166666666666702</v>
      </c>
      <c r="B32" s="201" t="s">
        <v>41</v>
      </c>
      <c r="C32" s="7">
        <f t="shared" si="0"/>
        <v>136</v>
      </c>
      <c r="D32" s="204">
        <f>SUM(DIR1count!C21:N21)</f>
        <v>75</v>
      </c>
      <c r="E32" s="204">
        <f>SUM(DIR2count!C21:N21)</f>
        <v>61</v>
      </c>
    </row>
    <row r="33" spans="1:5" x14ac:dyDescent="0.2">
      <c r="A33" s="8">
        <v>0.33333333333333298</v>
      </c>
      <c r="B33" s="201" t="s">
        <v>41</v>
      </c>
      <c r="C33" s="7">
        <f t="shared" si="0"/>
        <v>166</v>
      </c>
      <c r="D33" s="204">
        <f>SUM(DIR1count!C22:N22)</f>
        <v>83</v>
      </c>
      <c r="E33" s="204">
        <f>SUM(DIR2count!C22:N22)</f>
        <v>83</v>
      </c>
    </row>
    <row r="34" spans="1:5" x14ac:dyDescent="0.2">
      <c r="A34" s="8">
        <v>0.375</v>
      </c>
      <c r="B34" s="201" t="s">
        <v>41</v>
      </c>
      <c r="C34" s="7">
        <f t="shared" si="0"/>
        <v>177</v>
      </c>
      <c r="D34" s="204">
        <f>SUM(DIR1count!C23:N23)</f>
        <v>79</v>
      </c>
      <c r="E34" s="204">
        <f>SUM(DIR2count!C23:N23)</f>
        <v>98</v>
      </c>
    </row>
    <row r="35" spans="1:5" x14ac:dyDescent="0.2">
      <c r="A35" s="8">
        <v>0.41666666666666702</v>
      </c>
      <c r="B35" s="201" t="s">
        <v>41</v>
      </c>
      <c r="C35" s="7">
        <f t="shared" si="0"/>
        <v>169</v>
      </c>
      <c r="D35" s="204">
        <f>SUM(DIR1count!C24:N24)</f>
        <v>72</v>
      </c>
      <c r="E35" s="204">
        <f>SUM(DIR2count!C24:N24)</f>
        <v>97</v>
      </c>
    </row>
    <row r="36" spans="1:5" x14ac:dyDescent="0.2">
      <c r="A36" s="8">
        <v>0.45833333333333298</v>
      </c>
      <c r="B36" s="201" t="s">
        <v>42</v>
      </c>
      <c r="C36" s="7">
        <f t="shared" si="0"/>
        <v>177</v>
      </c>
      <c r="D36" s="204">
        <f>SUM(DIR1count!C25:N25)</f>
        <v>80</v>
      </c>
      <c r="E36" s="204">
        <f>SUM(DIR2count!C25:N25)</f>
        <v>97</v>
      </c>
    </row>
    <row r="37" spans="1:5" x14ac:dyDescent="0.2">
      <c r="A37" s="9">
        <v>0.5</v>
      </c>
      <c r="B37" s="202" t="s">
        <v>41</v>
      </c>
      <c r="C37" s="10">
        <f t="shared" si="0"/>
        <v>169</v>
      </c>
      <c r="D37" s="205">
        <f>SUM(DIR1count!C26:N26)</f>
        <v>77</v>
      </c>
      <c r="E37" s="205">
        <f>SUM(DIR2count!C26:N26)</f>
        <v>92</v>
      </c>
    </row>
    <row r="38" spans="1:5" x14ac:dyDescent="0.2">
      <c r="A38" s="8">
        <v>0.54166666666666696</v>
      </c>
      <c r="B38" s="201" t="s">
        <v>41</v>
      </c>
      <c r="C38" s="7">
        <f t="shared" si="0"/>
        <v>166</v>
      </c>
      <c r="D38" s="204">
        <f>SUM(DIR1count!C27:N27)</f>
        <v>83</v>
      </c>
      <c r="E38" s="204">
        <f>SUM(DIR2count!C27:N27)</f>
        <v>83</v>
      </c>
    </row>
    <row r="39" spans="1:5" x14ac:dyDescent="0.2">
      <c r="A39" s="8">
        <v>0.58333333333333304</v>
      </c>
      <c r="B39" s="201" t="s">
        <v>41</v>
      </c>
      <c r="C39" s="7">
        <f t="shared" si="0"/>
        <v>184</v>
      </c>
      <c r="D39" s="204">
        <f>SUM(DIR1count!C28:N28)</f>
        <v>94</v>
      </c>
      <c r="E39" s="204">
        <f>SUM(DIR2count!C28:N28)</f>
        <v>90</v>
      </c>
    </row>
    <row r="40" spans="1:5" x14ac:dyDescent="0.2">
      <c r="A40" s="8">
        <v>0.625</v>
      </c>
      <c r="B40" s="201" t="s">
        <v>43</v>
      </c>
      <c r="C40" s="7">
        <f t="shared" si="0"/>
        <v>204</v>
      </c>
      <c r="D40" s="204">
        <f>SUM(DIR1count!C29:N29)</f>
        <v>103</v>
      </c>
      <c r="E40" s="204">
        <f>SUM(DIR2count!C29:N29)</f>
        <v>101</v>
      </c>
    </row>
    <row r="41" spans="1:5" x14ac:dyDescent="0.2">
      <c r="A41" s="8">
        <v>0.66666666666666696</v>
      </c>
      <c r="B41" s="201" t="s">
        <v>41</v>
      </c>
      <c r="C41" s="7">
        <f t="shared" si="0"/>
        <v>205</v>
      </c>
      <c r="D41" s="204">
        <f>SUM(DIR1count!C30:N30)</f>
        <v>101</v>
      </c>
      <c r="E41" s="204">
        <f>SUM(DIR2count!C30:N30)</f>
        <v>104</v>
      </c>
    </row>
    <row r="42" spans="1:5" x14ac:dyDescent="0.2">
      <c r="A42" s="8">
        <v>0.70833333333333304</v>
      </c>
      <c r="B42" s="201" t="s">
        <v>41</v>
      </c>
      <c r="C42" s="7">
        <f t="shared" si="0"/>
        <v>177</v>
      </c>
      <c r="D42" s="204">
        <f>SUM(DIR1count!C31:N31)</f>
        <v>93</v>
      </c>
      <c r="E42" s="204">
        <f>SUM(DIR2count!C31:N31)</f>
        <v>84</v>
      </c>
    </row>
    <row r="43" spans="1:5" x14ac:dyDescent="0.2">
      <c r="A43" s="5">
        <v>0.75</v>
      </c>
      <c r="B43" s="201" t="s">
        <v>40</v>
      </c>
      <c r="C43" s="6">
        <f t="shared" si="0"/>
        <v>131</v>
      </c>
      <c r="D43" s="203">
        <f>SUM(DIR1count!C32:N32)</f>
        <v>70</v>
      </c>
      <c r="E43" s="203">
        <f>SUM(DIR2count!C32:N32)</f>
        <v>61</v>
      </c>
    </row>
    <row r="44" spans="1:5" x14ac:dyDescent="0.2">
      <c r="A44" s="5">
        <v>0.79166666666666696</v>
      </c>
      <c r="B44" s="201" t="s">
        <v>40</v>
      </c>
      <c r="C44" s="6">
        <f t="shared" si="0"/>
        <v>83</v>
      </c>
      <c r="D44" s="203">
        <f>SUM(DIR1count!C33:N33)</f>
        <v>42</v>
      </c>
      <c r="E44" s="203">
        <f>SUM(DIR2count!C33:N33)</f>
        <v>41</v>
      </c>
    </row>
    <row r="45" spans="1:5" x14ac:dyDescent="0.2">
      <c r="A45" s="5">
        <v>0.83333333333333304</v>
      </c>
      <c r="B45" s="201" t="s">
        <v>40</v>
      </c>
      <c r="C45" s="6">
        <f t="shared" si="0"/>
        <v>66</v>
      </c>
      <c r="D45" s="203">
        <f>SUM(DIR1count!C34:N34)</f>
        <v>38</v>
      </c>
      <c r="E45" s="203">
        <f>SUM(DIR2count!C34:N34)</f>
        <v>28</v>
      </c>
    </row>
    <row r="46" spans="1:5" x14ac:dyDescent="0.2">
      <c r="A46" s="5">
        <v>0.875</v>
      </c>
      <c r="B46" s="201" t="s">
        <v>40</v>
      </c>
      <c r="C46" s="6">
        <f t="shared" si="0"/>
        <v>57</v>
      </c>
      <c r="D46" s="203">
        <f>SUM(DIR1count!C35:N35)</f>
        <v>32</v>
      </c>
      <c r="E46" s="203">
        <f>SUM(DIR2count!C35:N35)</f>
        <v>25</v>
      </c>
    </row>
    <row r="47" spans="1:5" x14ac:dyDescent="0.2">
      <c r="A47" s="5">
        <v>0.91666666666666696</v>
      </c>
      <c r="B47" s="201" t="s">
        <v>40</v>
      </c>
      <c r="C47" s="6">
        <f t="shared" si="0"/>
        <v>39</v>
      </c>
      <c r="D47" s="203">
        <f>SUM(DIR1count!C36:N36)</f>
        <v>21</v>
      </c>
      <c r="E47" s="203">
        <f>SUM(DIR2count!C36:N36)</f>
        <v>18</v>
      </c>
    </row>
    <row r="48" spans="1:5" x14ac:dyDescent="0.2">
      <c r="A48" s="5">
        <v>0.95833333333333304</v>
      </c>
      <c r="B48" s="201" t="s">
        <v>40</v>
      </c>
      <c r="C48" s="6">
        <f t="shared" si="0"/>
        <v>25</v>
      </c>
      <c r="D48" s="203">
        <f>SUM(DIR1count!C37:N37)</f>
        <v>14</v>
      </c>
      <c r="E48" s="203">
        <f>SUM(DIR2count!C37:N37)</f>
        <v>11</v>
      </c>
    </row>
    <row r="49" spans="1:5" x14ac:dyDescent="0.2">
      <c r="C49" s="7">
        <f ca="1">SUM(C25:C48)</f>
        <v>2517</v>
      </c>
      <c r="D49" s="7">
        <f ca="1">SUM(D25:D48)</f>
        <v>1264</v>
      </c>
      <c r="E49" s="7">
        <f>SUM(E25:E48)</f>
        <v>1253</v>
      </c>
    </row>
    <row r="50" spans="1:5" x14ac:dyDescent="0.2">
      <c r="C50" s="7"/>
      <c r="D50" s="7"/>
      <c r="E50" s="7"/>
    </row>
    <row r="51" spans="1:5" x14ac:dyDescent="0.2">
      <c r="A51" t="s">
        <v>44</v>
      </c>
      <c r="C51" s="7"/>
      <c r="D51" s="7"/>
      <c r="E51" s="7"/>
    </row>
    <row r="52" spans="1:5" x14ac:dyDescent="0.2">
      <c r="A52" t="s">
        <v>45</v>
      </c>
      <c r="B52" s="206">
        <v>1.4999999999999999E-2</v>
      </c>
      <c r="C52" s="7"/>
      <c r="D52" s="7"/>
      <c r="E52" s="7"/>
    </row>
    <row r="54" spans="1:5" x14ac:dyDescent="0.2">
      <c r="A54" s="1" t="s">
        <v>46</v>
      </c>
      <c r="B54" s="1" t="s">
        <v>47</v>
      </c>
    </row>
    <row r="55" spans="1:5" x14ac:dyDescent="0.2">
      <c r="A55">
        <v>2018</v>
      </c>
      <c r="B55" s="207">
        <v>1</v>
      </c>
    </row>
    <row r="56" spans="1:5" x14ac:dyDescent="0.2">
      <c r="A56">
        <v>2033</v>
      </c>
      <c r="B56" s="11">
        <f>IF($A56,1+($A56-$A$55)*$B$52,0)</f>
        <v>1.2250000000000001</v>
      </c>
    </row>
    <row r="57" spans="1:5" x14ac:dyDescent="0.2">
      <c r="A57">
        <v>2048</v>
      </c>
      <c r="B57" s="11">
        <f>IF($A57,1+($A57-$A$55)*$B$52,0)</f>
        <v>1.45</v>
      </c>
      <c r="C57" s="12"/>
    </row>
    <row r="59" spans="1:5" x14ac:dyDescent="0.2">
      <c r="A59" s="1" t="s">
        <v>48</v>
      </c>
      <c r="B59" s="1" t="s">
        <v>49</v>
      </c>
      <c r="C59" s="1" t="s">
        <v>50</v>
      </c>
    </row>
    <row r="60" spans="1:5" x14ac:dyDescent="0.2">
      <c r="A60" t="s">
        <v>42</v>
      </c>
      <c r="B60">
        <f>COUNTIF($B$25:$B$48,$A60)</f>
        <v>1</v>
      </c>
      <c r="C60" s="201" t="s">
        <v>51</v>
      </c>
    </row>
    <row r="61" spans="1:5" x14ac:dyDescent="0.2">
      <c r="A61" t="s">
        <v>43</v>
      </c>
      <c r="B61">
        <f>COUNTIF($B$25:$B$48,$A61)</f>
        <v>1</v>
      </c>
      <c r="C61" s="201" t="s">
        <v>52</v>
      </c>
    </row>
    <row r="62" spans="1:5" x14ac:dyDescent="0.2">
      <c r="A62" t="s">
        <v>41</v>
      </c>
      <c r="B62">
        <f>COUNTIF($B$25:$B$48,$A62)</f>
        <v>10</v>
      </c>
      <c r="C62" s="3" t="s">
        <v>53</v>
      </c>
    </row>
    <row r="63" spans="1:5" x14ac:dyDescent="0.2">
      <c r="A63" t="s">
        <v>40</v>
      </c>
      <c r="B63">
        <f>COUNTIF($B$25:$B$48,$A63)</f>
        <v>12</v>
      </c>
      <c r="C63" s="3" t="s">
        <v>54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MJ98"/>
  <sheetViews>
    <sheetView zoomScaleNormal="100" workbookViewId="0"/>
  </sheetViews>
  <sheetFormatPr defaultRowHeight="12.75" x14ac:dyDescent="0.2"/>
  <cols>
    <col min="1" max="1" width="18" customWidth="1"/>
    <col min="2" max="2" width="2.42578125" customWidth="1"/>
    <col min="3" max="14" width="14.5703125" customWidth="1"/>
    <col min="15" max="1025" width="11.5703125"/>
  </cols>
  <sheetData>
    <row r="1" spans="1:1024" ht="15.75" x14ac:dyDescent="0.25">
      <c r="A1" s="2" t="s">
        <v>55</v>
      </c>
    </row>
    <row r="3" spans="1:1024" x14ac:dyDescent="0.2">
      <c r="A3" s="221" t="str">
        <f>TRFsetup!B16</f>
        <v>MRNoSec</v>
      </c>
      <c r="C3" s="13" t="str">
        <f>IF(C$4, $A$3&amp;"_"&amp;C$4&amp;TRFsetup!$A60, "")</f>
        <v>MRNoSec_2018A</v>
      </c>
      <c r="D3" s="13" t="str">
        <f>IF(D$4, $A$3&amp;"_"&amp;D$4&amp;TRFsetup!$A61, "")</f>
        <v>MRNoSec_2018P</v>
      </c>
      <c r="E3" s="13" t="str">
        <f>IF(E$4, $A$3&amp;"_"&amp;E$4&amp;TRFsetup!$A62, "")</f>
        <v>MRNoSec_2018D</v>
      </c>
      <c r="F3" s="13" t="str">
        <f>IF(F$4, $A$3&amp;"_"&amp;F$4&amp;TRFsetup!$A63, "")</f>
        <v>MRNoSec_2018N</v>
      </c>
      <c r="G3" s="13" t="str">
        <f>IF(G$4, $A$3&amp;"_"&amp;G$4&amp;TRFsetup!$A60, "")</f>
        <v>MRNoSec_2033A</v>
      </c>
      <c r="H3" s="13" t="str">
        <f>IF(H$4, $A$3&amp;"_"&amp;H$4&amp;TRFsetup!$A61, "")</f>
        <v>MRNoSec_2033P</v>
      </c>
      <c r="I3" s="13" t="str">
        <f>IF(I$4, $A$3&amp;"_"&amp;I$4&amp;TRFsetup!$A62, "")</f>
        <v>MRNoSec_2033D</v>
      </c>
      <c r="J3" s="13" t="str">
        <f>IF(J$4, $A$3&amp;"_"&amp;J$4&amp;TRFsetup!$A63, "")</f>
        <v>MRNoSec_2033N</v>
      </c>
      <c r="K3" s="13" t="str">
        <f>IF(K$4, $A$3&amp;"_"&amp;K$4&amp;TRFsetup!$A60, "")</f>
        <v>MRNoSec_2048A</v>
      </c>
      <c r="L3" s="13" t="str">
        <f>IF(L$4, $A$3&amp;"_"&amp;L$4&amp;TRFsetup!$A61, "")</f>
        <v>MRNoSec_2048P</v>
      </c>
      <c r="M3" s="13" t="str">
        <f>IF(M$4, $A$3&amp;"_"&amp;M$4&amp;TRFsetup!$A62, "")</f>
        <v>MRNoSec_2048D</v>
      </c>
      <c r="N3" s="13" t="str">
        <f>IF(N$4, $A$3&amp;"_"&amp;N$4&amp;TRFsetup!$A63, "")</f>
        <v>MRNoSec_2048N</v>
      </c>
    </row>
    <row r="4" spans="1:1024" x14ac:dyDescent="0.2">
      <c r="A4" t="s">
        <v>56</v>
      </c>
      <c r="C4" s="15">
        <f>TRFsetup!$A$55</f>
        <v>2018</v>
      </c>
      <c r="D4" s="15">
        <f>TRFsetup!$A$55</f>
        <v>2018</v>
      </c>
      <c r="E4" s="15">
        <f>TRFsetup!$A$55</f>
        <v>2018</v>
      </c>
      <c r="F4" s="15">
        <f>TRFsetup!$A$55</f>
        <v>2018</v>
      </c>
      <c r="G4" s="16">
        <f>TRFsetup!$A$56</f>
        <v>2033</v>
      </c>
      <c r="H4" s="16">
        <f>TRFsetup!$A$56</f>
        <v>2033</v>
      </c>
      <c r="I4" s="16">
        <f>TRFsetup!$A$56</f>
        <v>2033</v>
      </c>
      <c r="J4" s="16">
        <f>TRFsetup!$A$56</f>
        <v>2033</v>
      </c>
      <c r="K4" s="15">
        <f>TRFsetup!$A$57</f>
        <v>2048</v>
      </c>
      <c r="L4" s="15">
        <f>TRFsetup!$A$57</f>
        <v>2048</v>
      </c>
      <c r="M4" s="15">
        <f>TRFsetup!$A$57</f>
        <v>2048</v>
      </c>
      <c r="N4" s="15">
        <f>TRFsetup!$A$57</f>
        <v>2048</v>
      </c>
    </row>
    <row r="5" spans="1:1024" x14ac:dyDescent="0.2">
      <c r="A5" s="3" t="s">
        <v>47</v>
      </c>
      <c r="C5" s="17">
        <f>TRFsetup!$B$55</f>
        <v>1</v>
      </c>
      <c r="D5" s="17">
        <f>TRFsetup!$B$55</f>
        <v>1</v>
      </c>
      <c r="E5" s="17">
        <f>TRFsetup!$B$55</f>
        <v>1</v>
      </c>
      <c r="F5" s="17">
        <f>TRFsetup!$B$55</f>
        <v>1</v>
      </c>
      <c r="G5" s="17">
        <f>TRFsetup!$B$56</f>
        <v>1.2250000000000001</v>
      </c>
      <c r="H5" s="17">
        <f>TRFsetup!$B$56</f>
        <v>1.2250000000000001</v>
      </c>
      <c r="I5" s="17">
        <f>TRFsetup!$B$56</f>
        <v>1.2250000000000001</v>
      </c>
      <c r="J5" s="17">
        <f>TRFsetup!$B$56</f>
        <v>1.2250000000000001</v>
      </c>
      <c r="K5" s="17">
        <f>TRFsetup!$B$57</f>
        <v>1.45</v>
      </c>
      <c r="L5" s="17">
        <f>TRFsetup!$B$57</f>
        <v>1.45</v>
      </c>
      <c r="M5" s="17">
        <f>TRFsetup!$B$57</f>
        <v>1.45</v>
      </c>
      <c r="N5" s="17">
        <f>TRFsetup!$B$57</f>
        <v>1.45</v>
      </c>
    </row>
    <row r="6" spans="1:1024" x14ac:dyDescent="0.2">
      <c r="E6" s="18"/>
      <c r="G6" s="19"/>
      <c r="H6" s="18"/>
      <c r="I6" s="20"/>
      <c r="L6" s="18"/>
      <c r="M6" s="20"/>
    </row>
    <row r="7" spans="1:1024" x14ac:dyDescent="0.2">
      <c r="E7" s="18"/>
      <c r="G7" s="19"/>
      <c r="H7" s="18"/>
      <c r="I7" s="20"/>
      <c r="L7" s="18"/>
      <c r="M7" s="20"/>
    </row>
    <row r="8" spans="1:1024" x14ac:dyDescent="0.2">
      <c r="A8" s="21" t="s">
        <v>57</v>
      </c>
      <c r="B8" s="22"/>
      <c r="C8" s="23">
        <f t="array" ref="C8">SUM(IF(DIR1count!$A$14:$A$37="A",DIR1count!$C$14:$C$37))*C$5/C$15</f>
        <v>65</v>
      </c>
      <c r="D8" s="23">
        <f t="array" ref="D8">SUM(IF(DIR1count!$A$14:$A$37="P",DIR1count!$C$14:$C$37))*D$5/D$15</f>
        <v>84</v>
      </c>
      <c r="E8" s="23">
        <f t="array" ref="E8">SUM(IF(DIR1count!$A$14:$A$37="D",DIR1count!$C$14:$C$37))*E$5/E$15</f>
        <v>62.8</v>
      </c>
      <c r="F8" s="23">
        <f t="array" ref="F8">SUM(IF(DIR1count!$A$14:$A$37="N",DIR1count!$C$14:$C$37))*F$5/F$15</f>
        <v>14.75</v>
      </c>
      <c r="G8" s="24">
        <f t="shared" ref="G8:J13" si="0">C8*$G$5</f>
        <v>79.625</v>
      </c>
      <c r="H8" s="24">
        <f t="shared" si="0"/>
        <v>102.9</v>
      </c>
      <c r="I8" s="24">
        <f t="shared" si="0"/>
        <v>76.930000000000007</v>
      </c>
      <c r="J8" s="24">
        <f t="shared" si="0"/>
        <v>18.068750000000001</v>
      </c>
      <c r="K8" s="24">
        <f t="shared" ref="K8:N13" si="1">C8*$K$5</f>
        <v>94.25</v>
      </c>
      <c r="L8" s="24">
        <f t="shared" si="1"/>
        <v>121.8</v>
      </c>
      <c r="M8" s="24">
        <f t="shared" si="1"/>
        <v>91.059999999999988</v>
      </c>
      <c r="N8" s="24">
        <f t="shared" si="1"/>
        <v>21.387499999999999</v>
      </c>
    </row>
    <row r="9" spans="1:1024" x14ac:dyDescent="0.2">
      <c r="A9" s="25" t="s">
        <v>58</v>
      </c>
      <c r="B9" s="26"/>
      <c r="C9" s="23">
        <f t="array" ref="C9">SUM(IF(DIR1count!$A$14:$A$37="A",DIR1count!$D$14:$D$37))*C$5/C$15</f>
        <v>3</v>
      </c>
      <c r="D9" s="23">
        <f t="array" ref="D9">SUM(IF(DIR1count!$A$14:$A$37="P",DIR1count!$D$14:$D$37))*D$5/D$15</f>
        <v>4</v>
      </c>
      <c r="E9" s="23">
        <f t="array" ref="E9">SUM(IF(DIR1count!$A$14:$A$37="D",DIR1count!$D$14:$D$37))*E$5/E$15</f>
        <v>5.3</v>
      </c>
      <c r="F9" s="23">
        <f t="array" ref="F9">SUM(IF(DIR1count!$A$14:$A$37="N",DIR1count!$D$14:$D$37))*F$5/F$15</f>
        <v>0.58333333333333337</v>
      </c>
      <c r="G9" s="24">
        <f t="shared" si="0"/>
        <v>3.6750000000000003</v>
      </c>
      <c r="H9" s="24">
        <f t="shared" si="0"/>
        <v>4.9000000000000004</v>
      </c>
      <c r="I9" s="24">
        <f t="shared" si="0"/>
        <v>6.4925000000000006</v>
      </c>
      <c r="J9" s="24">
        <f t="shared" si="0"/>
        <v>0.71458333333333346</v>
      </c>
      <c r="K9" s="24">
        <f t="shared" si="1"/>
        <v>4.3499999999999996</v>
      </c>
      <c r="L9" s="24">
        <f t="shared" si="1"/>
        <v>5.8</v>
      </c>
      <c r="M9" s="24">
        <f t="shared" si="1"/>
        <v>7.6849999999999996</v>
      </c>
      <c r="N9" s="24">
        <f t="shared" si="1"/>
        <v>0.84583333333333333</v>
      </c>
    </row>
    <row r="10" spans="1:1024" x14ac:dyDescent="0.2">
      <c r="A10" s="25" t="s">
        <v>59</v>
      </c>
      <c r="B10" s="26"/>
      <c r="C10" s="23">
        <f t="array" ref="C10">SUM(IF(DIR1count!$A$14:$A$37="A",DIR1count!$E$14:$G$37))*C$5/C$15</f>
        <v>5</v>
      </c>
      <c r="D10" s="23">
        <f t="array" ref="D10">SUM(IF(DIR1count!$A$14:$A$37="P",DIR1count!$E$14:$G$37))*D$5/D$15</f>
        <v>6</v>
      </c>
      <c r="E10" s="23">
        <f t="array" ref="E10">SUM(IF(DIR1count!$A$14:$A$37="D",DIR1count!$E$14:$G$37))*E$5/E$15</f>
        <v>4.8</v>
      </c>
      <c r="F10" s="23">
        <f t="array" ref="F10">SUM(IF(DIR1count!$A$14:$A$37="N",DIR1count!$E$14:$G$37))*F$5/F$15</f>
        <v>0.75</v>
      </c>
      <c r="G10" s="24">
        <f t="shared" si="0"/>
        <v>6.125</v>
      </c>
      <c r="H10" s="24">
        <f t="shared" si="0"/>
        <v>7.3500000000000005</v>
      </c>
      <c r="I10" s="24">
        <f t="shared" si="0"/>
        <v>5.88</v>
      </c>
      <c r="J10" s="24">
        <f t="shared" si="0"/>
        <v>0.91875000000000007</v>
      </c>
      <c r="K10" s="24">
        <f t="shared" si="1"/>
        <v>7.25</v>
      </c>
      <c r="L10" s="24">
        <f t="shared" si="1"/>
        <v>8.6999999999999993</v>
      </c>
      <c r="M10" s="24">
        <f t="shared" si="1"/>
        <v>6.96</v>
      </c>
      <c r="N10" s="24">
        <f t="shared" si="1"/>
        <v>1.0874999999999999</v>
      </c>
    </row>
    <row r="11" spans="1:1024" x14ac:dyDescent="0.2">
      <c r="A11" s="25" t="s">
        <v>60</v>
      </c>
      <c r="B11" s="26"/>
      <c r="C11" s="23">
        <f t="array" ref="C11">SUM(IF(DIR1count!$A$14:$A$37="A",DIR1count!$H$14:$K$37))*C$5/C$15</f>
        <v>2</v>
      </c>
      <c r="D11" s="23">
        <f t="array" ref="D11">SUM(IF(DIR1count!$A$14:$A$37="P",DIR1count!$H$14:$K$37))*D$5/D$15</f>
        <v>4</v>
      </c>
      <c r="E11" s="23">
        <f t="array" ref="E11">SUM(IF(DIR1count!$A$14:$A$37="D",DIR1count!$H$14:$K$37))*E$5/E$15</f>
        <v>3.2</v>
      </c>
      <c r="F11" s="23">
        <f t="array" ref="F11">SUM(IF(DIR1count!$A$14:$A$37="N",DIR1count!$H$14:$K$37))*F$5/F$15</f>
        <v>2.5</v>
      </c>
      <c r="G11" s="24">
        <f t="shared" si="0"/>
        <v>2.4500000000000002</v>
      </c>
      <c r="H11" s="24">
        <f t="shared" si="0"/>
        <v>4.9000000000000004</v>
      </c>
      <c r="I11" s="24">
        <f t="shared" si="0"/>
        <v>3.9200000000000004</v>
      </c>
      <c r="J11" s="24">
        <f t="shared" si="0"/>
        <v>3.0625</v>
      </c>
      <c r="K11" s="24">
        <f t="shared" si="1"/>
        <v>2.9</v>
      </c>
      <c r="L11" s="24">
        <f t="shared" si="1"/>
        <v>5.8</v>
      </c>
      <c r="M11" s="24">
        <f t="shared" si="1"/>
        <v>4.6399999999999997</v>
      </c>
      <c r="N11" s="24">
        <f t="shared" si="1"/>
        <v>3.625</v>
      </c>
    </row>
    <row r="12" spans="1:1024" x14ac:dyDescent="0.2">
      <c r="A12" s="25" t="s">
        <v>61</v>
      </c>
      <c r="B12" s="26"/>
      <c r="C12" s="23">
        <f t="array" ref="C12">SUM(IF(DIR1count!$A$14:$A$37="A",DIR1count!$L$14:$L$37))*C$5/C$15</f>
        <v>4</v>
      </c>
      <c r="D12" s="23">
        <f t="array" ref="D12">SUM(IF(DIR1count!$A$14:$A$37="P",DIR1count!$L$14:$L$37))*D$5/D$15</f>
        <v>5</v>
      </c>
      <c r="E12" s="23">
        <f t="array" ref="E12">SUM(IF(DIR1count!$A$14:$A$37="D",DIR1count!$L$14:$L$37))*E$5/E$15</f>
        <v>4.3</v>
      </c>
      <c r="F12" s="23">
        <f t="array" ref="F12">SUM(IF(DIR1count!$A$14:$A$37="N",DIR1count!$L$14:$L$37))*F$5/F$15</f>
        <v>4.583333333333333</v>
      </c>
      <c r="G12" s="24">
        <f t="shared" si="0"/>
        <v>4.9000000000000004</v>
      </c>
      <c r="H12" s="24">
        <f t="shared" si="0"/>
        <v>6.125</v>
      </c>
      <c r="I12" s="24">
        <f t="shared" si="0"/>
        <v>5.2675000000000001</v>
      </c>
      <c r="J12" s="24">
        <f t="shared" si="0"/>
        <v>5.614583333333333</v>
      </c>
      <c r="K12" s="24">
        <f t="shared" si="1"/>
        <v>5.8</v>
      </c>
      <c r="L12" s="24">
        <f t="shared" si="1"/>
        <v>7.25</v>
      </c>
      <c r="M12" s="24">
        <f t="shared" si="1"/>
        <v>6.2349999999999994</v>
      </c>
      <c r="N12" s="24">
        <f t="shared" si="1"/>
        <v>6.645833333333333</v>
      </c>
    </row>
    <row r="13" spans="1:1024" x14ac:dyDescent="0.2">
      <c r="A13" s="27" t="s">
        <v>62</v>
      </c>
      <c r="B13" s="28"/>
      <c r="C13" s="23">
        <f t="array" ref="C13">SUM(IF(DIR1count!$A$14:$A$37="A",DIR1count!$M$14:$N$37))*$C$5/C$15</f>
        <v>0</v>
      </c>
      <c r="D13" s="23">
        <f t="array" ref="D13">SUM(IF(DIR1count!$A$14:$A$37="P",DIR1count!$M$14:$N$37))*D$5/D$15</f>
        <v>0</v>
      </c>
      <c r="E13" s="23">
        <f t="array" ref="E13">SUM(IF(DIR1count!$A$14:$A$37="D",DIR1count!$M$14:$N$37))*E$5/E$15</f>
        <v>0</v>
      </c>
      <c r="F13" s="23">
        <f t="array" ref="F13">SUM(IF(DIR1count!$A$14:$A$37="N",DIR1count!$M$14:$N$37))*F$5/F$15</f>
        <v>0</v>
      </c>
      <c r="G13" s="24">
        <f t="shared" si="0"/>
        <v>0</v>
      </c>
      <c r="H13" s="24">
        <f t="shared" si="0"/>
        <v>0</v>
      </c>
      <c r="I13" s="24">
        <f t="shared" si="0"/>
        <v>0</v>
      </c>
      <c r="J13" s="24">
        <f t="shared" si="0"/>
        <v>0</v>
      </c>
      <c r="K13" s="24">
        <f t="shared" si="1"/>
        <v>0</v>
      </c>
      <c r="L13" s="24">
        <f t="shared" si="1"/>
        <v>0</v>
      </c>
      <c r="M13" s="24">
        <f t="shared" si="1"/>
        <v>0</v>
      </c>
      <c r="N13" s="24">
        <f t="shared" si="1"/>
        <v>0</v>
      </c>
    </row>
    <row r="14" spans="1:1024" s="30" customFormat="1" x14ac:dyDescent="0.2">
      <c r="A14" s="29" t="s">
        <v>63</v>
      </c>
      <c r="C14" s="31">
        <f t="shared" ref="C14:N14" si="2">SUM(C8:C13)</f>
        <v>79</v>
      </c>
      <c r="D14" s="31">
        <f t="shared" si="2"/>
        <v>103</v>
      </c>
      <c r="E14" s="31">
        <f t="shared" si="2"/>
        <v>80.399999999999991</v>
      </c>
      <c r="F14" s="31">
        <f t="shared" si="2"/>
        <v>23.166666666666668</v>
      </c>
      <c r="G14" s="31">
        <f t="shared" si="2"/>
        <v>96.775000000000006</v>
      </c>
      <c r="H14" s="31">
        <f t="shared" si="2"/>
        <v>126.17500000000001</v>
      </c>
      <c r="I14" s="31">
        <f t="shared" si="2"/>
        <v>98.490000000000009</v>
      </c>
      <c r="J14" s="31">
        <f t="shared" si="2"/>
        <v>28.379166666666666</v>
      </c>
      <c r="K14" s="31">
        <f t="shared" si="2"/>
        <v>114.55</v>
      </c>
      <c r="L14" s="31">
        <f t="shared" si="2"/>
        <v>149.35</v>
      </c>
      <c r="M14" s="31">
        <f t="shared" si="2"/>
        <v>116.57999999999998</v>
      </c>
      <c r="N14" s="31">
        <f t="shared" si="2"/>
        <v>33.591666666666669</v>
      </c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s="30" customFormat="1" x14ac:dyDescent="0.2">
      <c r="A15" s="29" t="s">
        <v>64</v>
      </c>
      <c r="C15" s="31">
        <v>1</v>
      </c>
      <c r="D15" s="31">
        <v>1</v>
      </c>
      <c r="E15" s="31">
        <v>10</v>
      </c>
      <c r="F15" s="31">
        <v>12</v>
      </c>
      <c r="G15" s="31">
        <f>C15</f>
        <v>1</v>
      </c>
      <c r="H15" s="31">
        <f>D15</f>
        <v>1</v>
      </c>
      <c r="I15" s="31">
        <f>E15</f>
        <v>10</v>
      </c>
      <c r="J15" s="31">
        <f>F15</f>
        <v>12</v>
      </c>
      <c r="K15" s="31">
        <f>C15</f>
        <v>1</v>
      </c>
      <c r="L15" s="31">
        <f>D15</f>
        <v>1</v>
      </c>
      <c r="M15" s="31">
        <f>E15</f>
        <v>10</v>
      </c>
      <c r="N15" s="31">
        <f>F15</f>
        <v>12</v>
      </c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s="30" customFormat="1" x14ac:dyDescent="0.2">
      <c r="A16" s="29" t="s">
        <v>65</v>
      </c>
      <c r="C16" s="31">
        <f t="shared" ref="C16:N16" si="3">C14*C15</f>
        <v>79</v>
      </c>
      <c r="D16" s="31">
        <f t="shared" si="3"/>
        <v>103</v>
      </c>
      <c r="E16" s="31">
        <f t="shared" si="3"/>
        <v>803.99999999999989</v>
      </c>
      <c r="F16" s="31">
        <f t="shared" si="3"/>
        <v>278</v>
      </c>
      <c r="G16" s="31">
        <f t="shared" si="3"/>
        <v>96.775000000000006</v>
      </c>
      <c r="H16" s="31">
        <f t="shared" si="3"/>
        <v>126.17500000000001</v>
      </c>
      <c r="I16" s="31">
        <f t="shared" si="3"/>
        <v>984.90000000000009</v>
      </c>
      <c r="J16" s="31">
        <f t="shared" si="3"/>
        <v>340.55</v>
      </c>
      <c r="K16" s="31">
        <f t="shared" si="3"/>
        <v>114.55</v>
      </c>
      <c r="L16" s="31">
        <f t="shared" si="3"/>
        <v>149.35</v>
      </c>
      <c r="M16" s="31">
        <f t="shared" si="3"/>
        <v>1165.7999999999997</v>
      </c>
      <c r="N16" s="31">
        <f t="shared" si="3"/>
        <v>403.1</v>
      </c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s="30" customFormat="1" x14ac:dyDescent="0.2">
      <c r="A17" s="29" t="s">
        <v>65</v>
      </c>
      <c r="C17" s="31"/>
      <c r="D17" s="31"/>
      <c r="F17" s="31">
        <f>SUM(C16:F16)</f>
        <v>1264</v>
      </c>
      <c r="G17" s="31"/>
      <c r="H17" s="31"/>
      <c r="J17" s="31">
        <f>SUM(G16:J16)</f>
        <v>1548.4</v>
      </c>
      <c r="K17" s="31"/>
      <c r="L17" s="31"/>
      <c r="N17" s="31">
        <f>SUM(K16:N16)</f>
        <v>1832.7999999999997</v>
      </c>
      <c r="ALY17"/>
      <c r="ALZ17"/>
      <c r="AMA17"/>
      <c r="AMB17"/>
      <c r="AMC17"/>
      <c r="AMD17"/>
      <c r="AME17"/>
      <c r="AMF17"/>
      <c r="AMG17"/>
      <c r="AMH17"/>
      <c r="AMI17"/>
      <c r="AMJ17"/>
    </row>
    <row r="18" spans="1:1024" s="30" customFormat="1" x14ac:dyDescent="0.2">
      <c r="A18" s="29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ALY18"/>
      <c r="ALZ18"/>
      <c r="AMA18"/>
      <c r="AMB18"/>
      <c r="AMC18"/>
      <c r="AMD18"/>
      <c r="AME18"/>
      <c r="AMF18"/>
      <c r="AMG18"/>
      <c r="AMH18"/>
      <c r="AMI18"/>
      <c r="AMJ18"/>
    </row>
    <row r="19" spans="1:1024" x14ac:dyDescent="0.2">
      <c r="A19" s="21" t="s">
        <v>66</v>
      </c>
      <c r="B19" s="22"/>
      <c r="C19" s="23">
        <f t="array" ref="C19">SUM(IF(DIR2count!$A$14:$A$37="A",DIR2count!$C$14:$C$37))*C$5/C$26</f>
        <v>77</v>
      </c>
      <c r="D19" s="23">
        <f t="array" ref="D19">SUM(IF(DIR2count!$A$14:$A$37="P",DIR2count!$C$14:$C$37))*D$5/D$26</f>
        <v>79</v>
      </c>
      <c r="E19" s="23">
        <f t="array" ref="E19">SUM(IF(DIR2count!$A$14:$A$37="D",DIR2count!$C$14:$C$37))*E$5/E$26</f>
        <v>62.7</v>
      </c>
      <c r="F19" s="23">
        <f t="array" ref="F19">SUM(IF(DIR2count!$A$14:$A$37="N",DIR2count!$C$14:$C$37))*F$5/F$26</f>
        <v>11.916666666666666</v>
      </c>
      <c r="G19" s="24">
        <f t="shared" ref="G19:J24" si="4">C19*$G$5</f>
        <v>94.325000000000003</v>
      </c>
      <c r="H19" s="24">
        <f t="shared" si="4"/>
        <v>96.775000000000006</v>
      </c>
      <c r="I19" s="24">
        <f t="shared" si="4"/>
        <v>76.807500000000005</v>
      </c>
      <c r="J19" s="24">
        <f t="shared" si="4"/>
        <v>14.597916666666666</v>
      </c>
      <c r="K19" s="24">
        <f t="shared" ref="K19:N24" si="5">C19*$K$5</f>
        <v>111.64999999999999</v>
      </c>
      <c r="L19" s="24">
        <f t="shared" si="5"/>
        <v>114.55</v>
      </c>
      <c r="M19" s="24">
        <f t="shared" si="5"/>
        <v>90.915000000000006</v>
      </c>
      <c r="N19" s="24">
        <f t="shared" si="5"/>
        <v>17.279166666666665</v>
      </c>
    </row>
    <row r="20" spans="1:1024" x14ac:dyDescent="0.2">
      <c r="A20" s="25" t="s">
        <v>67</v>
      </c>
      <c r="B20" s="26"/>
      <c r="C20" s="23">
        <f t="array" ref="C20">SUM(IF(DIR2count!$A$14:$A$37="A",DIR2count!$D$14:$D$37))*C$5/C$26</f>
        <v>6</v>
      </c>
      <c r="D20" s="23">
        <f t="array" ref="D20">SUM(IF(DIR2count!$A$14:$A$37="P",DIR2count!$D$14:$D$37))*D$5/D$26</f>
        <v>6</v>
      </c>
      <c r="E20" s="23">
        <f t="array" ref="E20">SUM(IF(DIR2count!$A$14:$A$37="D",DIR2count!$D$14:$D$37))*E$5/E$26</f>
        <v>5</v>
      </c>
      <c r="F20" s="23">
        <f t="array" ref="F20">SUM(IF(DIR2count!$A$14:$A$37="N",DIR2count!$D$14:$D$37))*F$5/F$26</f>
        <v>0.58333333333333337</v>
      </c>
      <c r="G20" s="24">
        <f t="shared" si="4"/>
        <v>7.3500000000000005</v>
      </c>
      <c r="H20" s="24">
        <f t="shared" si="4"/>
        <v>7.3500000000000005</v>
      </c>
      <c r="I20" s="24">
        <f t="shared" si="4"/>
        <v>6.125</v>
      </c>
      <c r="J20" s="24">
        <f t="shared" si="4"/>
        <v>0.71458333333333346</v>
      </c>
      <c r="K20" s="24">
        <f t="shared" si="5"/>
        <v>8.6999999999999993</v>
      </c>
      <c r="L20" s="24">
        <f t="shared" si="5"/>
        <v>8.6999999999999993</v>
      </c>
      <c r="M20" s="24">
        <f t="shared" si="5"/>
        <v>7.25</v>
      </c>
      <c r="N20" s="24">
        <f t="shared" si="5"/>
        <v>0.84583333333333333</v>
      </c>
    </row>
    <row r="21" spans="1:1024" x14ac:dyDescent="0.2">
      <c r="A21" s="25" t="s">
        <v>68</v>
      </c>
      <c r="B21" s="26"/>
      <c r="C21" s="23">
        <f t="array" ref="C21">SUM(IF(DIR2count!$A$14:$A$37="A",DIR2count!$E$14:$G$37))*C$5/C$26</f>
        <v>5</v>
      </c>
      <c r="D21" s="23">
        <f t="array" ref="D21">SUM(IF(DIR2count!$A$14:$A$37="P",DIR2count!$E$14:$G$37))*D$5/D$26</f>
        <v>7</v>
      </c>
      <c r="E21" s="23">
        <f t="array" ref="E21">SUM(IF(DIR2count!$A$14:$A$37="D",DIR2count!$E$14:$G$37))*E$5/E$26</f>
        <v>4.7</v>
      </c>
      <c r="F21" s="23">
        <f t="array" ref="F21">SUM(IF(DIR2count!$A$14:$A$37="N",DIR2count!$E$14:$G$37))*F$5/F$26</f>
        <v>0.5</v>
      </c>
      <c r="G21" s="24">
        <f t="shared" si="4"/>
        <v>6.125</v>
      </c>
      <c r="H21" s="24">
        <f t="shared" si="4"/>
        <v>8.5750000000000011</v>
      </c>
      <c r="I21" s="24">
        <f t="shared" si="4"/>
        <v>5.7575000000000003</v>
      </c>
      <c r="J21" s="24">
        <f t="shared" si="4"/>
        <v>0.61250000000000004</v>
      </c>
      <c r="K21" s="24">
        <f t="shared" si="5"/>
        <v>7.25</v>
      </c>
      <c r="L21" s="24">
        <f t="shared" si="5"/>
        <v>10.15</v>
      </c>
      <c r="M21" s="24">
        <f t="shared" si="5"/>
        <v>6.8150000000000004</v>
      </c>
      <c r="N21" s="24">
        <f t="shared" si="5"/>
        <v>0.72499999999999998</v>
      </c>
    </row>
    <row r="22" spans="1:1024" x14ac:dyDescent="0.2">
      <c r="A22" s="25" t="s">
        <v>69</v>
      </c>
      <c r="B22" s="26"/>
      <c r="C22" s="23">
        <f t="array" ref="C22">SUM(IF(DIR2count!$A$14:$A$37="A",DIR2count!$H$14:$K37))*C$5/C$26</f>
        <v>4</v>
      </c>
      <c r="D22" s="23">
        <f t="array" ref="D22">SUM(IF(DIR2count!$A$14:$A$37="P",DIR2count!$H$14:$K37))*D$5/D$26</f>
        <v>3</v>
      </c>
      <c r="E22" s="23">
        <f t="array" ref="E22">SUM(IF(DIR2count!$A$14:$A$37="D",DIR2count!$H$14:$K37))*E$5/E$26</f>
        <v>4.4000000000000004</v>
      </c>
      <c r="F22" s="23">
        <f t="array" ref="F22">SUM(IF(DIR2count!$A$14:$A$37="N",DIR2count!$H$14:$K37))*F$5/F$26</f>
        <v>2.1666666666666665</v>
      </c>
      <c r="G22" s="24">
        <f t="shared" si="4"/>
        <v>4.9000000000000004</v>
      </c>
      <c r="H22" s="24">
        <f t="shared" si="4"/>
        <v>3.6750000000000003</v>
      </c>
      <c r="I22" s="24">
        <f t="shared" si="4"/>
        <v>5.3900000000000006</v>
      </c>
      <c r="J22" s="24">
        <f t="shared" si="4"/>
        <v>2.6541666666666668</v>
      </c>
      <c r="K22" s="24">
        <f t="shared" si="5"/>
        <v>5.8</v>
      </c>
      <c r="L22" s="24">
        <f t="shared" si="5"/>
        <v>4.3499999999999996</v>
      </c>
      <c r="M22" s="24">
        <f t="shared" si="5"/>
        <v>6.38</v>
      </c>
      <c r="N22" s="24">
        <f t="shared" si="5"/>
        <v>3.1416666666666662</v>
      </c>
    </row>
    <row r="23" spans="1:1024" x14ac:dyDescent="0.2">
      <c r="A23" s="25" t="s">
        <v>70</v>
      </c>
      <c r="B23" s="26"/>
      <c r="C23" s="23">
        <f t="array" ref="C23">SUM(IF(DIR2count!$A$14:$A$37="A",DIR2count!$L$14:$L$37))*C$5/C$26</f>
        <v>6</v>
      </c>
      <c r="D23" s="23">
        <f t="array" ref="D23">SUM(IF(DIR2count!$A$14:$A$37="P",DIR2count!$L$14:$L$37))*D$5/D$26</f>
        <v>6</v>
      </c>
      <c r="E23" s="23">
        <f t="array" ref="E23">SUM(IF(DIR2count!$A$14:$A$37="D",DIR2count!$L$14:$L$37))*E$5/E$26</f>
        <v>5.3</v>
      </c>
      <c r="F23" s="23">
        <f t="array" ref="F23">SUM(IF(DIR2count!$A$14:$A$37="N",DIR2count!$L$14:$L$37))*F$5/F$26</f>
        <v>4.25</v>
      </c>
      <c r="G23" s="24">
        <f t="shared" si="4"/>
        <v>7.3500000000000005</v>
      </c>
      <c r="H23" s="24">
        <f t="shared" si="4"/>
        <v>7.3500000000000005</v>
      </c>
      <c r="I23" s="24">
        <f t="shared" si="4"/>
        <v>6.4925000000000006</v>
      </c>
      <c r="J23" s="24">
        <f t="shared" si="4"/>
        <v>5.2062500000000007</v>
      </c>
      <c r="K23" s="24">
        <f t="shared" si="5"/>
        <v>8.6999999999999993</v>
      </c>
      <c r="L23" s="24">
        <f t="shared" si="5"/>
        <v>8.6999999999999993</v>
      </c>
      <c r="M23" s="24">
        <f t="shared" si="5"/>
        <v>7.6849999999999996</v>
      </c>
      <c r="N23" s="24">
        <f t="shared" si="5"/>
        <v>6.1624999999999996</v>
      </c>
    </row>
    <row r="24" spans="1:1024" x14ac:dyDescent="0.2">
      <c r="A24" s="27" t="s">
        <v>71</v>
      </c>
      <c r="B24" s="28"/>
      <c r="C24" s="23">
        <f t="array" ref="C24">SUM(IF(DIR2count!$A$14:$A$37="A",DIR2count!$M$14:$N$37))*C$5/C$26</f>
        <v>0</v>
      </c>
      <c r="D24" s="23">
        <f t="array" ref="D24">SUM(IF(DIR2count!$A$14:$A$37="P",DIR2count!$M$14:$N$37))*D$5/D$26</f>
        <v>0</v>
      </c>
      <c r="E24" s="23">
        <f t="array" ref="E24">SUM(IF(DIR2count!$A$14:$A$37="D",DIR2count!$M$14:$N$37))*E$5/E$26</f>
        <v>0</v>
      </c>
      <c r="F24" s="23">
        <f t="array" ref="F24">SUM(IF(DIR2count!$A$14:$A$37="N",DIR2count!$M$14:$N$37))*F$5/F$26</f>
        <v>0</v>
      </c>
      <c r="G24" s="24">
        <f t="shared" si="4"/>
        <v>0</v>
      </c>
      <c r="H24" s="24">
        <f t="shared" si="4"/>
        <v>0</v>
      </c>
      <c r="I24" s="24">
        <f t="shared" si="4"/>
        <v>0</v>
      </c>
      <c r="J24" s="24">
        <f t="shared" si="4"/>
        <v>0</v>
      </c>
      <c r="K24" s="24">
        <f t="shared" si="5"/>
        <v>0</v>
      </c>
      <c r="L24" s="24">
        <f t="shared" si="5"/>
        <v>0</v>
      </c>
      <c r="M24" s="24">
        <f t="shared" si="5"/>
        <v>0</v>
      </c>
      <c r="N24" s="24">
        <f t="shared" si="5"/>
        <v>0</v>
      </c>
    </row>
    <row r="25" spans="1:1024" x14ac:dyDescent="0.2">
      <c r="A25" s="29" t="s">
        <v>63</v>
      </c>
      <c r="B25" s="29"/>
      <c r="C25" s="32">
        <f t="shared" ref="C25:N25" si="6">SUM(C19:C24)</f>
        <v>98</v>
      </c>
      <c r="D25" s="32">
        <f t="shared" si="6"/>
        <v>101</v>
      </c>
      <c r="E25" s="32">
        <f t="shared" si="6"/>
        <v>82.100000000000009</v>
      </c>
      <c r="F25" s="32">
        <f t="shared" si="6"/>
        <v>19.416666666666664</v>
      </c>
      <c r="G25" s="31">
        <f t="shared" si="6"/>
        <v>120.05</v>
      </c>
      <c r="H25" s="31">
        <f t="shared" si="6"/>
        <v>123.72499999999999</v>
      </c>
      <c r="I25" s="31">
        <f t="shared" si="6"/>
        <v>100.57250000000001</v>
      </c>
      <c r="J25" s="31">
        <f t="shared" si="6"/>
        <v>23.785416666666666</v>
      </c>
      <c r="K25" s="31">
        <f t="shared" si="6"/>
        <v>142.1</v>
      </c>
      <c r="L25" s="31">
        <f t="shared" si="6"/>
        <v>146.44999999999999</v>
      </c>
      <c r="M25" s="31">
        <f t="shared" si="6"/>
        <v>119.045</v>
      </c>
      <c r="N25" s="31">
        <f t="shared" si="6"/>
        <v>28.154166666666669</v>
      </c>
    </row>
    <row r="26" spans="1:1024" x14ac:dyDescent="0.2">
      <c r="A26" s="29" t="s">
        <v>64</v>
      </c>
      <c r="B26" s="29"/>
      <c r="C26" s="32">
        <v>1</v>
      </c>
      <c r="D26" s="32">
        <v>1</v>
      </c>
      <c r="E26" s="32">
        <v>10</v>
      </c>
      <c r="F26" s="32">
        <v>12</v>
      </c>
      <c r="G26" s="31">
        <f>C26</f>
        <v>1</v>
      </c>
      <c r="H26" s="31">
        <f>D26</f>
        <v>1</v>
      </c>
      <c r="I26" s="31">
        <f>E26</f>
        <v>10</v>
      </c>
      <c r="J26" s="31">
        <f>F26</f>
        <v>12</v>
      </c>
      <c r="K26" s="31">
        <f>C26</f>
        <v>1</v>
      </c>
      <c r="L26" s="31">
        <f>D26</f>
        <v>1</v>
      </c>
      <c r="M26" s="31">
        <f>E26</f>
        <v>10</v>
      </c>
      <c r="N26" s="31">
        <f>F26</f>
        <v>12</v>
      </c>
    </row>
    <row r="27" spans="1:1024" x14ac:dyDescent="0.2">
      <c r="A27" s="29" t="s">
        <v>65</v>
      </c>
      <c r="B27" s="29"/>
      <c r="C27" s="32">
        <f t="shared" ref="C27:N27" si="7">C25*C26</f>
        <v>98</v>
      </c>
      <c r="D27" s="32">
        <f t="shared" si="7"/>
        <v>101</v>
      </c>
      <c r="E27" s="32">
        <f t="shared" si="7"/>
        <v>821.00000000000011</v>
      </c>
      <c r="F27" s="32">
        <f t="shared" si="7"/>
        <v>232.99999999999997</v>
      </c>
      <c r="G27" s="31">
        <f t="shared" si="7"/>
        <v>120.05</v>
      </c>
      <c r="H27" s="31">
        <f t="shared" si="7"/>
        <v>123.72499999999999</v>
      </c>
      <c r="I27" s="31">
        <f t="shared" si="7"/>
        <v>1005.725</v>
      </c>
      <c r="J27" s="31">
        <f t="shared" si="7"/>
        <v>285.42500000000001</v>
      </c>
      <c r="K27" s="31">
        <f t="shared" si="7"/>
        <v>142.1</v>
      </c>
      <c r="L27" s="31">
        <f t="shared" si="7"/>
        <v>146.44999999999999</v>
      </c>
      <c r="M27" s="31">
        <f t="shared" si="7"/>
        <v>1190.45</v>
      </c>
      <c r="N27" s="31">
        <f t="shared" si="7"/>
        <v>337.85</v>
      </c>
    </row>
    <row r="28" spans="1:1024" x14ac:dyDescent="0.2">
      <c r="A28" s="29" t="s">
        <v>65</v>
      </c>
      <c r="B28" s="29"/>
      <c r="C28" s="31"/>
      <c r="D28" s="31"/>
      <c r="F28" s="31">
        <f>SUM(C27:F27)</f>
        <v>1253</v>
      </c>
      <c r="G28" s="31"/>
      <c r="H28" s="31"/>
      <c r="J28" s="31">
        <f>SUM(G27:J27)</f>
        <v>1534.925</v>
      </c>
      <c r="K28" s="31"/>
      <c r="L28" s="31"/>
      <c r="N28" s="31">
        <f>SUM(K27:N27)</f>
        <v>1816.85</v>
      </c>
    </row>
    <row r="29" spans="1:1024" x14ac:dyDescent="0.2">
      <c r="A29" s="29" t="s">
        <v>72</v>
      </c>
      <c r="B29" s="29"/>
      <c r="C29" s="31"/>
      <c r="D29" s="31"/>
      <c r="F29" s="31">
        <f>F17+F28</f>
        <v>2517</v>
      </c>
      <c r="G29" s="31"/>
      <c r="H29" s="31"/>
      <c r="J29" s="31">
        <f>J17+J28</f>
        <v>3083.3249999999998</v>
      </c>
      <c r="K29" s="31"/>
      <c r="L29" s="31"/>
      <c r="N29" s="31">
        <f>N17+N28</f>
        <v>3649.6499999999996</v>
      </c>
    </row>
    <row r="30" spans="1:1024" s="30" customFormat="1" x14ac:dyDescent="0.2">
      <c r="A30" s="33"/>
      <c r="B30" s="33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ALY30"/>
      <c r="ALZ30"/>
      <c r="AMA30"/>
      <c r="AMB30"/>
      <c r="AMC30"/>
      <c r="AMD30"/>
      <c r="AME30"/>
      <c r="AMF30"/>
      <c r="AMG30"/>
      <c r="AMH30"/>
      <c r="AMI30"/>
      <c r="AMJ30"/>
    </row>
    <row r="31" spans="1:1024" s="30" customFormat="1" x14ac:dyDescent="0.2">
      <c r="A31" s="33" t="s">
        <v>73</v>
      </c>
      <c r="B31" s="33"/>
      <c r="C31" s="31">
        <f t="shared" ref="C31:N31" si="8">SUM(C8:C13,C19:C24)</f>
        <v>177</v>
      </c>
      <c r="D31" s="31">
        <f t="shared" si="8"/>
        <v>204</v>
      </c>
      <c r="E31" s="31">
        <f t="shared" si="8"/>
        <v>162.5</v>
      </c>
      <c r="F31" s="31">
        <f t="shared" si="8"/>
        <v>42.583333333333336</v>
      </c>
      <c r="G31" s="31">
        <f t="shared" si="8"/>
        <v>216.82500000000002</v>
      </c>
      <c r="H31" s="31">
        <f t="shared" si="8"/>
        <v>249.9</v>
      </c>
      <c r="I31" s="31">
        <f t="shared" si="8"/>
        <v>199.0625</v>
      </c>
      <c r="J31" s="31">
        <f t="shared" si="8"/>
        <v>52.164583333333326</v>
      </c>
      <c r="K31" s="31">
        <f t="shared" si="8"/>
        <v>256.64999999999998</v>
      </c>
      <c r="L31" s="31">
        <f t="shared" si="8"/>
        <v>295.79999999999995</v>
      </c>
      <c r="M31" s="31">
        <f t="shared" si="8"/>
        <v>235.625</v>
      </c>
      <c r="N31" s="31">
        <f t="shared" si="8"/>
        <v>61.745833333333337</v>
      </c>
      <c r="ALY31"/>
      <c r="ALZ31"/>
      <c r="AMA31"/>
      <c r="AMB31"/>
      <c r="AMC31"/>
      <c r="AMD31"/>
      <c r="AME31"/>
      <c r="AMF31"/>
      <c r="AMG31"/>
      <c r="AMH31"/>
      <c r="AMI31"/>
      <c r="AMJ31"/>
    </row>
    <row r="32" spans="1:1024" s="30" customFormat="1" x14ac:dyDescent="0.2">
      <c r="A32" s="33" t="s">
        <v>74</v>
      </c>
      <c r="B32" s="33"/>
      <c r="C32" s="31">
        <v>1000</v>
      </c>
      <c r="D32" s="31">
        <f t="shared" ref="D32:N32" si="9">C32</f>
        <v>1000</v>
      </c>
      <c r="E32" s="31">
        <f t="shared" si="9"/>
        <v>1000</v>
      </c>
      <c r="F32" s="31">
        <f t="shared" si="9"/>
        <v>1000</v>
      </c>
      <c r="G32" s="31">
        <f t="shared" si="9"/>
        <v>1000</v>
      </c>
      <c r="H32" s="31">
        <f t="shared" si="9"/>
        <v>1000</v>
      </c>
      <c r="I32" s="31">
        <f t="shared" si="9"/>
        <v>1000</v>
      </c>
      <c r="J32" s="31">
        <f t="shared" si="9"/>
        <v>1000</v>
      </c>
      <c r="K32" s="31">
        <f t="shared" si="9"/>
        <v>1000</v>
      </c>
      <c r="L32" s="31">
        <f t="shared" si="9"/>
        <v>1000</v>
      </c>
      <c r="M32" s="31">
        <f t="shared" si="9"/>
        <v>1000</v>
      </c>
      <c r="N32" s="31">
        <f t="shared" si="9"/>
        <v>1000</v>
      </c>
      <c r="ALY32"/>
      <c r="ALZ32"/>
      <c r="AMA32"/>
      <c r="AMB32"/>
      <c r="AMC32"/>
      <c r="AMD32"/>
      <c r="AME32"/>
      <c r="AMF32"/>
      <c r="AMG32"/>
      <c r="AMH32"/>
      <c r="AMI32"/>
      <c r="AMJ32"/>
    </row>
    <row r="33" spans="1:1024" s="30" customFormat="1" x14ac:dyDescent="0.2">
      <c r="A33" s="35" t="s">
        <v>75</v>
      </c>
      <c r="B33" s="33"/>
      <c r="C33" s="36">
        <f t="shared" ref="C33:N33" si="10">C$32*3600/C31</f>
        <v>20338.983050847459</v>
      </c>
      <c r="D33" s="36">
        <f t="shared" si="10"/>
        <v>17647.058823529413</v>
      </c>
      <c r="E33" s="36">
        <f t="shared" si="10"/>
        <v>22153.846153846152</v>
      </c>
      <c r="F33" s="36">
        <f t="shared" si="10"/>
        <v>84540.117416829744</v>
      </c>
      <c r="G33" s="36">
        <f t="shared" si="10"/>
        <v>16603.251470079555</v>
      </c>
      <c r="H33" s="36">
        <f t="shared" si="10"/>
        <v>14405.762304921969</v>
      </c>
      <c r="I33" s="36">
        <f t="shared" si="10"/>
        <v>18084.772370486655</v>
      </c>
      <c r="J33" s="36">
        <f t="shared" si="10"/>
        <v>69012.340748432456</v>
      </c>
      <c r="K33" s="36">
        <f t="shared" si="10"/>
        <v>14026.88486265342</v>
      </c>
      <c r="L33" s="36">
        <f t="shared" si="10"/>
        <v>12170.385395537527</v>
      </c>
      <c r="M33" s="36">
        <f t="shared" si="10"/>
        <v>15278.514588859416</v>
      </c>
      <c r="N33" s="36">
        <f t="shared" si="10"/>
        <v>58303.529252986031</v>
      </c>
      <c r="ALY33"/>
      <c r="ALZ33"/>
      <c r="AMA33"/>
      <c r="AMB33"/>
      <c r="AMC33"/>
      <c r="AMD33"/>
      <c r="AME33"/>
      <c r="AMF33"/>
      <c r="AMG33"/>
      <c r="AMH33"/>
      <c r="AMI33"/>
      <c r="AMJ33"/>
    </row>
    <row r="34" spans="1:1024" s="30" customFormat="1" x14ac:dyDescent="0.2">
      <c r="A34" s="33"/>
      <c r="B34" s="33"/>
      <c r="C34" s="34"/>
      <c r="D34" s="34"/>
      <c r="E34" s="37"/>
      <c r="F34" s="34"/>
      <c r="G34" s="34"/>
      <c r="H34" s="34"/>
      <c r="I34" s="34"/>
      <c r="J34" s="34"/>
      <c r="K34" s="34"/>
      <c r="L34" s="34"/>
      <c r="M34" s="34"/>
      <c r="N34" s="34"/>
      <c r="ALY34"/>
      <c r="ALZ34"/>
      <c r="AMA34"/>
      <c r="AMB34"/>
      <c r="AMC34"/>
      <c r="AMD34"/>
      <c r="AME34"/>
      <c r="AMF34"/>
      <c r="AMG34"/>
      <c r="AMH34"/>
      <c r="AMI34"/>
      <c r="AMJ34"/>
    </row>
    <row r="35" spans="1:1024" ht="12.75" customHeight="1" x14ac:dyDescent="0.2"/>
    <row r="36" spans="1:1024" x14ac:dyDescent="0.2">
      <c r="A36" s="3" t="s">
        <v>76</v>
      </c>
      <c r="C36" s="1">
        <f>TRFsetup!$B$3</f>
        <v>1</v>
      </c>
      <c r="D36" s="1">
        <f>TRFsetup!$B$3</f>
        <v>1</v>
      </c>
      <c r="E36" s="1">
        <f>TRFsetup!$B$3</f>
        <v>1</v>
      </c>
      <c r="F36" s="1">
        <f>TRFsetup!$B$3</f>
        <v>1</v>
      </c>
      <c r="G36" s="1">
        <f>TRFsetup!$B$3</f>
        <v>1</v>
      </c>
      <c r="H36" s="1">
        <f>TRFsetup!$B$3</f>
        <v>1</v>
      </c>
      <c r="I36" s="1">
        <f>TRFsetup!$B$3</f>
        <v>1</v>
      </c>
      <c r="J36" s="1">
        <f>TRFsetup!$B$3</f>
        <v>1</v>
      </c>
      <c r="K36" s="1">
        <f>TRFsetup!$B$3</f>
        <v>1</v>
      </c>
      <c r="L36" s="1">
        <f>TRFsetup!$B$3</f>
        <v>1</v>
      </c>
      <c r="M36" s="1">
        <f>TRFsetup!$B$3</f>
        <v>1</v>
      </c>
      <c r="N36" s="1">
        <f>TRFsetup!$B$3</f>
        <v>1</v>
      </c>
    </row>
    <row r="37" spans="1:1024" x14ac:dyDescent="0.2">
      <c r="A37" s="3" t="s">
        <v>77</v>
      </c>
      <c r="C37" s="209">
        <f>TRFsetup!$B$4</f>
        <v>10000</v>
      </c>
      <c r="D37" s="209">
        <f>TRFsetup!$B$4</f>
        <v>10000</v>
      </c>
      <c r="E37" s="209">
        <f>TRFsetup!$B$4</f>
        <v>10000</v>
      </c>
      <c r="F37" s="209">
        <f>TRFsetup!$B$4</f>
        <v>10000</v>
      </c>
      <c r="G37" s="209">
        <f>TRFsetup!$B$4</f>
        <v>10000</v>
      </c>
      <c r="H37" s="209">
        <f>TRFsetup!$B$4</f>
        <v>10000</v>
      </c>
      <c r="I37" s="209">
        <f>TRFsetup!$B$4</f>
        <v>10000</v>
      </c>
      <c r="J37" s="209">
        <f>TRFsetup!$B$4</f>
        <v>10000</v>
      </c>
      <c r="K37" s="209">
        <f>TRFsetup!$B$4</f>
        <v>10000</v>
      </c>
      <c r="L37" s="209">
        <f>TRFsetup!$B$4</f>
        <v>10000</v>
      </c>
      <c r="M37" s="209">
        <f>TRFsetup!$B$4</f>
        <v>10000</v>
      </c>
      <c r="N37" s="209">
        <f>TRFsetup!$B$4</f>
        <v>10000</v>
      </c>
    </row>
    <row r="38" spans="1:1024" x14ac:dyDescent="0.2">
      <c r="A38" s="3" t="s">
        <v>75</v>
      </c>
      <c r="C38" s="20">
        <f>C$33</f>
        <v>20338.983050847459</v>
      </c>
      <c r="D38" s="20">
        <f t="shared" ref="D38:N38" si="11">D$33</f>
        <v>17647.058823529413</v>
      </c>
      <c r="E38" s="20">
        <f t="shared" si="11"/>
        <v>22153.846153846152</v>
      </c>
      <c r="F38" s="20">
        <f t="shared" si="11"/>
        <v>84540.117416829744</v>
      </c>
      <c r="G38" s="20">
        <f t="shared" si="11"/>
        <v>16603.251470079555</v>
      </c>
      <c r="H38" s="20">
        <f t="shared" si="11"/>
        <v>14405.762304921969</v>
      </c>
      <c r="I38" s="20">
        <f t="shared" si="11"/>
        <v>18084.772370486655</v>
      </c>
      <c r="J38" s="20">
        <f t="shared" si="11"/>
        <v>69012.340748432456</v>
      </c>
      <c r="K38" s="20">
        <f t="shared" si="11"/>
        <v>14026.88486265342</v>
      </c>
      <c r="L38" s="20">
        <f t="shared" si="11"/>
        <v>12170.385395537527</v>
      </c>
      <c r="M38" s="20">
        <f t="shared" si="11"/>
        <v>15278.514588859416</v>
      </c>
      <c r="N38" s="20">
        <f t="shared" si="11"/>
        <v>58303.529252986031</v>
      </c>
    </row>
    <row r="39" spans="1:1024" x14ac:dyDescent="0.2">
      <c r="A39" s="3" t="s">
        <v>22</v>
      </c>
      <c r="C39" s="1">
        <f>TRFsetup!$B$6</f>
        <v>0</v>
      </c>
      <c r="D39" s="1">
        <f>TRFsetup!$B$6</f>
        <v>0</v>
      </c>
      <c r="E39" s="1">
        <f>TRFsetup!$B$6</f>
        <v>0</v>
      </c>
      <c r="F39" s="1">
        <f>TRFsetup!$B$6</f>
        <v>0</v>
      </c>
      <c r="G39" s="1">
        <f>TRFsetup!$B$6</f>
        <v>0</v>
      </c>
      <c r="H39" s="1">
        <f>TRFsetup!$B$6</f>
        <v>0</v>
      </c>
      <c r="I39" s="1">
        <f>TRFsetup!$B$6</f>
        <v>0</v>
      </c>
      <c r="J39" s="1">
        <f>TRFsetup!$B$6</f>
        <v>0</v>
      </c>
      <c r="K39" s="1">
        <f>TRFsetup!$B$6</f>
        <v>0</v>
      </c>
      <c r="L39" s="1">
        <f>TRFsetup!$B$6</f>
        <v>0</v>
      </c>
      <c r="M39" s="1">
        <f>TRFsetup!$B$6</f>
        <v>0</v>
      </c>
      <c r="N39" s="1">
        <f>TRFsetup!$B$6</f>
        <v>0</v>
      </c>
    </row>
    <row r="40" spans="1:1024" x14ac:dyDescent="0.2">
      <c r="A40" s="3" t="s">
        <v>78</v>
      </c>
      <c r="C40" s="38">
        <f>TRFsetup!$B$7</f>
        <v>100</v>
      </c>
      <c r="D40" s="38">
        <f>TRFsetup!$B$7</f>
        <v>100</v>
      </c>
      <c r="E40" s="38">
        <f>TRFsetup!$B$7</f>
        <v>100</v>
      </c>
      <c r="F40" s="38">
        <f>TRFsetup!$B$7</f>
        <v>100</v>
      </c>
      <c r="G40" s="38">
        <f>TRFsetup!$B$7</f>
        <v>100</v>
      </c>
      <c r="H40" s="38">
        <f>TRFsetup!$B$7</f>
        <v>100</v>
      </c>
      <c r="I40" s="38">
        <f>TRFsetup!$B$7</f>
        <v>100</v>
      </c>
      <c r="J40" s="38">
        <f>TRFsetup!$B$7</f>
        <v>100</v>
      </c>
      <c r="K40" s="38">
        <f>TRFsetup!$B$7</f>
        <v>100</v>
      </c>
      <c r="L40" s="38">
        <f>TRFsetup!$B$7</f>
        <v>100</v>
      </c>
      <c r="M40" s="38">
        <f>TRFsetup!$B$7</f>
        <v>100</v>
      </c>
      <c r="N40" s="38">
        <f>TRFsetup!$B$7</f>
        <v>100</v>
      </c>
    </row>
    <row r="41" spans="1:1024" x14ac:dyDescent="0.2">
      <c r="A41" s="3" t="s">
        <v>79</v>
      </c>
      <c r="C41" s="38">
        <f>TRFsetup!$B$8</f>
        <v>100</v>
      </c>
      <c r="D41" s="38">
        <f>TRFsetup!$B$8</f>
        <v>100</v>
      </c>
      <c r="E41" s="38">
        <f>TRFsetup!$B$8</f>
        <v>100</v>
      </c>
      <c r="F41" s="38">
        <f>TRFsetup!$B$8</f>
        <v>100</v>
      </c>
      <c r="G41" s="38">
        <f>TRFsetup!$B$8</f>
        <v>100</v>
      </c>
      <c r="H41" s="38">
        <f>TRFsetup!$B$8</f>
        <v>100</v>
      </c>
      <c r="I41" s="38">
        <f>TRFsetup!$B$8</f>
        <v>100</v>
      </c>
      <c r="J41" s="38">
        <f>TRFsetup!$B$8</f>
        <v>100</v>
      </c>
      <c r="K41" s="38">
        <f>TRFsetup!$B$8</f>
        <v>100</v>
      </c>
      <c r="L41" s="38">
        <f>TRFsetup!$B$8</f>
        <v>100</v>
      </c>
      <c r="M41" s="38">
        <f>TRFsetup!$B$8</f>
        <v>100</v>
      </c>
      <c r="N41" s="38">
        <f>TRFsetup!$B$8</f>
        <v>100</v>
      </c>
    </row>
    <row r="42" spans="1:1024" ht="12.75" customHeight="1" x14ac:dyDescent="0.2">
      <c r="A42" s="3" t="s">
        <v>80</v>
      </c>
      <c r="C42" s="208">
        <f>TRFsetup!$B$9</f>
        <v>50</v>
      </c>
      <c r="D42" s="208">
        <f>TRFsetup!$B$9</f>
        <v>50</v>
      </c>
      <c r="E42" s="208">
        <f>TRFsetup!$B$9</f>
        <v>50</v>
      </c>
      <c r="F42" s="208">
        <f>TRFsetup!$B$9</f>
        <v>50</v>
      </c>
      <c r="G42" s="208">
        <f>TRFsetup!$B$9</f>
        <v>50</v>
      </c>
      <c r="H42" s="208">
        <f>TRFsetup!$B$9</f>
        <v>50</v>
      </c>
      <c r="I42" s="208">
        <f>TRFsetup!$B$9</f>
        <v>50</v>
      </c>
      <c r="J42" s="208">
        <f>TRFsetup!$B$9</f>
        <v>50</v>
      </c>
      <c r="K42" s="208">
        <f>TRFsetup!$B$9</f>
        <v>50</v>
      </c>
      <c r="L42" s="208">
        <f>TRFsetup!$B$9</f>
        <v>50</v>
      </c>
      <c r="M42" s="208">
        <f>TRFsetup!$B$9</f>
        <v>50</v>
      </c>
      <c r="N42" s="208">
        <f>TRFsetup!$B$9</f>
        <v>50</v>
      </c>
    </row>
    <row r="43" spans="1:1024" ht="13.5" customHeight="1" x14ac:dyDescent="0.2">
      <c r="A43" s="3" t="s">
        <v>81</v>
      </c>
      <c r="C43" s="208">
        <f>TRFsetup!$B$10</f>
        <v>50</v>
      </c>
      <c r="D43" s="208">
        <f>TRFsetup!$B$10</f>
        <v>50</v>
      </c>
      <c r="E43" s="208">
        <f>TRFsetup!$B$10</f>
        <v>50</v>
      </c>
      <c r="F43" s="208">
        <f>TRFsetup!$B$10</f>
        <v>50</v>
      </c>
      <c r="G43" s="208">
        <f>TRFsetup!$B$10</f>
        <v>50</v>
      </c>
      <c r="H43" s="208">
        <f>TRFsetup!$B$10</f>
        <v>50</v>
      </c>
      <c r="I43" s="208">
        <f>TRFsetup!$B$10</f>
        <v>50</v>
      </c>
      <c r="J43" s="208">
        <f>TRFsetup!$B$10</f>
        <v>50</v>
      </c>
      <c r="K43" s="208">
        <f>TRFsetup!$B$10</f>
        <v>50</v>
      </c>
      <c r="L43" s="208">
        <f>TRFsetup!$B$10</f>
        <v>50</v>
      </c>
      <c r="M43" s="208">
        <f>TRFsetup!$B$10</f>
        <v>50</v>
      </c>
      <c r="N43" s="208">
        <f>TRFsetup!$B$10</f>
        <v>50</v>
      </c>
    </row>
    <row r="44" spans="1:1024" ht="13.5" customHeight="1" x14ac:dyDescent="0.2">
      <c r="A44" s="3" t="s">
        <v>82</v>
      </c>
      <c r="C44" s="1">
        <f>TRFsetup!$B$11</f>
        <v>6</v>
      </c>
      <c r="D44" s="1">
        <f>TRFsetup!$B$11</f>
        <v>6</v>
      </c>
      <c r="E44" s="1">
        <f>TRFsetup!$B$11</f>
        <v>6</v>
      </c>
      <c r="F44" s="1">
        <f>TRFsetup!$B$11</f>
        <v>6</v>
      </c>
      <c r="G44" s="1">
        <f>TRFsetup!$B$11</f>
        <v>6</v>
      </c>
      <c r="H44" s="1">
        <f>TRFsetup!$B$11</f>
        <v>6</v>
      </c>
      <c r="I44" s="1">
        <f>TRFsetup!$B$11</f>
        <v>6</v>
      </c>
      <c r="J44" s="1">
        <f>TRFsetup!$B$11</f>
        <v>6</v>
      </c>
      <c r="K44" s="1">
        <f>TRFsetup!$B$11</f>
        <v>6</v>
      </c>
      <c r="L44" s="1">
        <f>TRFsetup!$B$11</f>
        <v>6</v>
      </c>
      <c r="M44" s="1">
        <f>TRFsetup!$B$11</f>
        <v>6</v>
      </c>
      <c r="N44" s="1">
        <f>TRFsetup!$B$11</f>
        <v>6</v>
      </c>
    </row>
    <row r="45" spans="1:1024" ht="13.5" customHeight="1" x14ac:dyDescent="0.2">
      <c r="A45" s="3" t="s">
        <v>28</v>
      </c>
      <c r="C45" s="38">
        <v>0</v>
      </c>
      <c r="D45" s="38">
        <v>1</v>
      </c>
      <c r="E45" s="38">
        <v>2</v>
      </c>
      <c r="F45" s="38">
        <v>3</v>
      </c>
      <c r="G45" s="38">
        <v>4</v>
      </c>
      <c r="H45" s="38">
        <v>5</v>
      </c>
      <c r="I45" s="38">
        <v>6</v>
      </c>
      <c r="J45" s="38">
        <v>7</v>
      </c>
      <c r="K45" s="38">
        <v>8</v>
      </c>
      <c r="L45" s="38">
        <v>9</v>
      </c>
      <c r="M45" s="38">
        <v>10</v>
      </c>
      <c r="N45" s="38">
        <v>11</v>
      </c>
    </row>
    <row r="46" spans="1:1024" ht="13.5" customHeight="1" x14ac:dyDescent="0.2">
      <c r="A46" s="3" t="s">
        <v>29</v>
      </c>
      <c r="C46" s="1">
        <f>TRFsetup!$B$13</f>
        <v>0</v>
      </c>
      <c r="D46" s="1">
        <f>TRFsetup!$B$13</f>
        <v>0</v>
      </c>
      <c r="E46" s="1">
        <f>TRFsetup!$B$13</f>
        <v>0</v>
      </c>
      <c r="F46" s="1">
        <f>TRFsetup!$B$13</f>
        <v>0</v>
      </c>
      <c r="G46" s="1">
        <f>TRFsetup!$B$13</f>
        <v>0</v>
      </c>
      <c r="H46" s="1">
        <f>TRFsetup!$B$13</f>
        <v>0</v>
      </c>
      <c r="I46" s="1">
        <f>TRFsetup!$B$13</f>
        <v>0</v>
      </c>
      <c r="J46" s="1">
        <f>TRFsetup!$B$13</f>
        <v>0</v>
      </c>
      <c r="K46" s="1">
        <f>TRFsetup!$B$13</f>
        <v>0</v>
      </c>
      <c r="L46" s="1">
        <f>TRFsetup!$B$13</f>
        <v>0</v>
      </c>
      <c r="M46" s="1">
        <f>TRFsetup!$B$13</f>
        <v>0</v>
      </c>
      <c r="N46" s="1">
        <f>TRFsetup!$B$13</f>
        <v>0</v>
      </c>
    </row>
    <row r="47" spans="1:1024" ht="13.5" customHeight="1" x14ac:dyDescent="0.2">
      <c r="A47" s="3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024" ht="13.5" customHeight="1" x14ac:dyDescent="0.2">
      <c r="A48" s="3" t="s">
        <v>83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3.5" customHeight="1" x14ac:dyDescent="0.2">
      <c r="A49" s="1" t="s">
        <v>84</v>
      </c>
    </row>
    <row r="50" spans="1:14" ht="13.5" customHeight="1" x14ac:dyDescent="0.2">
      <c r="A50" s="1" t="s">
        <v>85</v>
      </c>
    </row>
    <row r="51" spans="1:14" x14ac:dyDescent="0.2">
      <c r="A51" t="s">
        <v>86</v>
      </c>
      <c r="C51" s="39">
        <f>IF(C69,C8/C69,0.5)</f>
        <v>0.45774647887323944</v>
      </c>
      <c r="D51" s="39">
        <f t="shared" ref="D51:N51" si="12">IF(D69,D8/D69,0.5)</f>
        <v>0.51533742331288346</v>
      </c>
      <c r="E51" s="39">
        <f t="shared" si="12"/>
        <v>0.50039840637450195</v>
      </c>
      <c r="F51" s="39">
        <f t="shared" si="12"/>
        <v>0.55312500000000009</v>
      </c>
      <c r="G51" s="39">
        <f t="shared" si="12"/>
        <v>0.45774647887323949</v>
      </c>
      <c r="H51" s="39">
        <f t="shared" si="12"/>
        <v>0.51533742331288346</v>
      </c>
      <c r="I51" s="39">
        <f t="shared" si="12"/>
        <v>0.50039840637450195</v>
      </c>
      <c r="J51" s="39">
        <f t="shared" si="12"/>
        <v>0.55312499999999998</v>
      </c>
      <c r="K51" s="39">
        <f t="shared" si="12"/>
        <v>0.45774647887323949</v>
      </c>
      <c r="L51" s="39">
        <f t="shared" si="12"/>
        <v>0.51533742331288346</v>
      </c>
      <c r="M51" s="39">
        <f t="shared" si="12"/>
        <v>0.50039840637450195</v>
      </c>
      <c r="N51" s="39">
        <f t="shared" si="12"/>
        <v>0.55312499999999998</v>
      </c>
    </row>
    <row r="52" spans="1:14" x14ac:dyDescent="0.2">
      <c r="A52" t="s">
        <v>87</v>
      </c>
      <c r="C52" s="39">
        <f t="shared" ref="C52:N56" si="13">IF(C70,C9/C70,0.5)</f>
        <v>0.33333333333333331</v>
      </c>
      <c r="D52" s="39">
        <f t="shared" si="13"/>
        <v>0.4</v>
      </c>
      <c r="E52" s="39">
        <f t="shared" si="13"/>
        <v>0.5145631067961165</v>
      </c>
      <c r="F52" s="39">
        <f t="shared" si="13"/>
        <v>0.5</v>
      </c>
      <c r="G52" s="39">
        <f t="shared" si="13"/>
        <v>0.33333333333333337</v>
      </c>
      <c r="H52" s="39">
        <f t="shared" si="13"/>
        <v>0.4</v>
      </c>
      <c r="I52" s="39">
        <f t="shared" si="13"/>
        <v>0.51456310679611661</v>
      </c>
      <c r="J52" s="39">
        <f t="shared" si="13"/>
        <v>0.5</v>
      </c>
      <c r="K52" s="39">
        <f t="shared" si="13"/>
        <v>0.33333333333333331</v>
      </c>
      <c r="L52" s="39">
        <f t="shared" si="13"/>
        <v>0.39999999999999997</v>
      </c>
      <c r="M52" s="39">
        <f t="shared" si="13"/>
        <v>0.5145631067961165</v>
      </c>
      <c r="N52" s="39">
        <f t="shared" si="13"/>
        <v>0.5</v>
      </c>
    </row>
    <row r="53" spans="1:14" x14ac:dyDescent="0.2">
      <c r="A53" t="s">
        <v>88</v>
      </c>
      <c r="C53" s="39">
        <f t="shared" si="13"/>
        <v>0.5</v>
      </c>
      <c r="D53" s="39">
        <f t="shared" si="13"/>
        <v>0.46153846153846156</v>
      </c>
      <c r="E53" s="39">
        <f t="shared" si="13"/>
        <v>0.50526315789473686</v>
      </c>
      <c r="F53" s="39">
        <f t="shared" si="13"/>
        <v>0.6</v>
      </c>
      <c r="G53" s="39">
        <f t="shared" si="13"/>
        <v>0.5</v>
      </c>
      <c r="H53" s="39">
        <f t="shared" si="13"/>
        <v>0.46153846153846156</v>
      </c>
      <c r="I53" s="39">
        <f t="shared" si="13"/>
        <v>0.50526315789473686</v>
      </c>
      <c r="J53" s="39">
        <f t="shared" si="13"/>
        <v>0.60000000000000009</v>
      </c>
      <c r="K53" s="39">
        <f t="shared" si="13"/>
        <v>0.5</v>
      </c>
      <c r="L53" s="39">
        <f t="shared" si="13"/>
        <v>0.46153846153846145</v>
      </c>
      <c r="M53" s="39">
        <f t="shared" si="13"/>
        <v>0.50526315789473686</v>
      </c>
      <c r="N53" s="39">
        <f t="shared" si="13"/>
        <v>0.6</v>
      </c>
    </row>
    <row r="54" spans="1:14" x14ac:dyDescent="0.2">
      <c r="A54" t="s">
        <v>89</v>
      </c>
      <c r="C54" s="39">
        <f t="shared" si="13"/>
        <v>0.33333333333333331</v>
      </c>
      <c r="D54" s="39">
        <f t="shared" si="13"/>
        <v>0.5714285714285714</v>
      </c>
      <c r="E54" s="39">
        <f t="shared" si="13"/>
        <v>0.42105263157894735</v>
      </c>
      <c r="F54" s="39">
        <f t="shared" si="13"/>
        <v>0.53571428571428581</v>
      </c>
      <c r="G54" s="39">
        <f t="shared" si="13"/>
        <v>0.33333333333333331</v>
      </c>
      <c r="H54" s="39">
        <f t="shared" si="13"/>
        <v>0.5714285714285714</v>
      </c>
      <c r="I54" s="39">
        <f t="shared" si="13"/>
        <v>0.4210526315789474</v>
      </c>
      <c r="J54" s="39">
        <f t="shared" si="13"/>
        <v>0.5357142857142857</v>
      </c>
      <c r="K54" s="39">
        <f t="shared" si="13"/>
        <v>0.33333333333333337</v>
      </c>
      <c r="L54" s="39">
        <f t="shared" si="13"/>
        <v>0.57142857142857151</v>
      </c>
      <c r="M54" s="39">
        <f t="shared" si="13"/>
        <v>0.42105263157894735</v>
      </c>
      <c r="N54" s="39">
        <f t="shared" si="13"/>
        <v>0.53571428571428581</v>
      </c>
    </row>
    <row r="55" spans="1:14" x14ac:dyDescent="0.2">
      <c r="A55" t="s">
        <v>90</v>
      </c>
      <c r="C55" s="39">
        <f t="shared" si="13"/>
        <v>0.4</v>
      </c>
      <c r="D55" s="39">
        <f t="shared" si="13"/>
        <v>0.45454545454545453</v>
      </c>
      <c r="E55" s="39">
        <f t="shared" si="13"/>
        <v>0.44791666666666669</v>
      </c>
      <c r="F55" s="39">
        <f t="shared" si="13"/>
        <v>0.51886792452830188</v>
      </c>
      <c r="G55" s="39">
        <f t="shared" si="13"/>
        <v>0.4</v>
      </c>
      <c r="H55" s="39">
        <f t="shared" si="13"/>
        <v>0.45454545454545447</v>
      </c>
      <c r="I55" s="39">
        <f t="shared" si="13"/>
        <v>0.44791666666666663</v>
      </c>
      <c r="J55" s="39">
        <f t="shared" si="13"/>
        <v>0.51886792452830188</v>
      </c>
      <c r="K55" s="39">
        <f t="shared" si="13"/>
        <v>0.39999999999999997</v>
      </c>
      <c r="L55" s="39">
        <f t="shared" si="13"/>
        <v>0.45454545454545459</v>
      </c>
      <c r="M55" s="39">
        <f t="shared" si="13"/>
        <v>0.44791666666666669</v>
      </c>
      <c r="N55" s="39">
        <f t="shared" si="13"/>
        <v>0.51886792452830188</v>
      </c>
    </row>
    <row r="56" spans="1:14" x14ac:dyDescent="0.2">
      <c r="A56" t="s">
        <v>91</v>
      </c>
      <c r="C56" s="39">
        <f t="shared" si="13"/>
        <v>0.5</v>
      </c>
      <c r="D56" s="39">
        <f t="shared" si="13"/>
        <v>0.5</v>
      </c>
      <c r="E56" s="39">
        <f t="shared" si="13"/>
        <v>0.5</v>
      </c>
      <c r="F56" s="39">
        <f t="shared" si="13"/>
        <v>0.5</v>
      </c>
      <c r="G56" s="39">
        <f t="shared" si="13"/>
        <v>0.5</v>
      </c>
      <c r="H56" s="39">
        <f t="shared" si="13"/>
        <v>0.5</v>
      </c>
      <c r="I56" s="39">
        <f t="shared" si="13"/>
        <v>0.5</v>
      </c>
      <c r="J56" s="39">
        <f t="shared" si="13"/>
        <v>0.5</v>
      </c>
      <c r="K56" s="39">
        <f t="shared" si="13"/>
        <v>0.5</v>
      </c>
      <c r="L56" s="39">
        <f t="shared" si="13"/>
        <v>0.5</v>
      </c>
      <c r="M56" s="39">
        <f t="shared" si="13"/>
        <v>0.5</v>
      </c>
      <c r="N56" s="39">
        <f t="shared" si="13"/>
        <v>0.5</v>
      </c>
    </row>
    <row r="57" spans="1:14" x14ac:dyDescent="0.2">
      <c r="A57" s="40" t="s">
        <v>92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</row>
    <row r="58" spans="1:14" x14ac:dyDescent="0.2">
      <c r="A58" s="40" t="str">
        <f t="shared" ref="A58:A64" si="14">A50</f>
        <v>Proportion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</row>
    <row r="59" spans="1:14" x14ac:dyDescent="0.2">
      <c r="A59" t="str">
        <f t="shared" si="14"/>
        <v>CARS</v>
      </c>
      <c r="C59" s="39">
        <f>IF(C69,C19/C69,0.5)</f>
        <v>0.54225352112676062</v>
      </c>
      <c r="D59" s="39">
        <f t="shared" ref="D59:N59" si="15">IF(D69,D19/D69,0.5)</f>
        <v>0.48466257668711654</v>
      </c>
      <c r="E59" s="39">
        <f t="shared" si="15"/>
        <v>0.49960159362549805</v>
      </c>
      <c r="F59" s="39">
        <f t="shared" si="15"/>
        <v>0.44687500000000002</v>
      </c>
      <c r="G59" s="39">
        <f t="shared" si="15"/>
        <v>0.54225352112676062</v>
      </c>
      <c r="H59" s="39">
        <f t="shared" si="15"/>
        <v>0.48466257668711654</v>
      </c>
      <c r="I59" s="39">
        <f t="shared" si="15"/>
        <v>0.499601593625498</v>
      </c>
      <c r="J59" s="39">
        <f t="shared" si="15"/>
        <v>0.44687499999999991</v>
      </c>
      <c r="K59" s="39">
        <f t="shared" si="15"/>
        <v>0.54225352112676062</v>
      </c>
      <c r="L59" s="39">
        <f t="shared" si="15"/>
        <v>0.48466257668711654</v>
      </c>
      <c r="M59" s="39">
        <f t="shared" si="15"/>
        <v>0.49960159362549805</v>
      </c>
      <c r="N59" s="39">
        <f t="shared" si="15"/>
        <v>0.44687499999999997</v>
      </c>
    </row>
    <row r="60" spans="1:14" x14ac:dyDescent="0.2">
      <c r="A60" t="str">
        <f t="shared" si="14"/>
        <v>CAR TOW</v>
      </c>
      <c r="C60" s="39">
        <f t="shared" ref="C60:N64" si="16">IF(C70,C20/C70,0.5)</f>
        <v>0.66666666666666663</v>
      </c>
      <c r="D60" s="39">
        <f t="shared" si="16"/>
        <v>0.6</v>
      </c>
      <c r="E60" s="39">
        <f t="shared" si="16"/>
        <v>0.48543689320388345</v>
      </c>
      <c r="F60" s="39">
        <f t="shared" si="16"/>
        <v>0.5</v>
      </c>
      <c r="G60" s="39">
        <f t="shared" si="16"/>
        <v>0.66666666666666674</v>
      </c>
      <c r="H60" s="39">
        <f t="shared" si="16"/>
        <v>0.60000000000000009</v>
      </c>
      <c r="I60" s="39">
        <f t="shared" si="16"/>
        <v>0.4854368932038835</v>
      </c>
      <c r="J60" s="39">
        <f t="shared" si="16"/>
        <v>0.5</v>
      </c>
      <c r="K60" s="39">
        <f t="shared" si="16"/>
        <v>0.66666666666666663</v>
      </c>
      <c r="L60" s="39">
        <f t="shared" si="16"/>
        <v>0.6</v>
      </c>
      <c r="M60" s="39">
        <f t="shared" si="16"/>
        <v>0.48543689320388356</v>
      </c>
      <c r="N60" s="39">
        <f t="shared" si="16"/>
        <v>0.5</v>
      </c>
    </row>
    <row r="61" spans="1:14" x14ac:dyDescent="0.2">
      <c r="A61" t="str">
        <f t="shared" si="14"/>
        <v>RIGIDS</v>
      </c>
      <c r="C61" s="39">
        <f t="shared" si="16"/>
        <v>0.5</v>
      </c>
      <c r="D61" s="39">
        <f t="shared" si="16"/>
        <v>0.53846153846153844</v>
      </c>
      <c r="E61" s="39">
        <f t="shared" si="16"/>
        <v>0.4947368421052632</v>
      </c>
      <c r="F61" s="39">
        <f t="shared" si="16"/>
        <v>0.4</v>
      </c>
      <c r="G61" s="39">
        <f t="shared" si="16"/>
        <v>0.5</v>
      </c>
      <c r="H61" s="39">
        <f t="shared" si="16"/>
        <v>0.53846153846153855</v>
      </c>
      <c r="I61" s="39">
        <f t="shared" si="16"/>
        <v>0.4947368421052632</v>
      </c>
      <c r="J61" s="39">
        <f t="shared" si="16"/>
        <v>0.4</v>
      </c>
      <c r="K61" s="39">
        <f t="shared" si="16"/>
        <v>0.5</v>
      </c>
      <c r="L61" s="39">
        <f t="shared" si="16"/>
        <v>0.53846153846153844</v>
      </c>
      <c r="M61" s="39">
        <f t="shared" si="16"/>
        <v>0.4947368421052632</v>
      </c>
      <c r="N61" s="39">
        <f t="shared" si="16"/>
        <v>0.39999999999999997</v>
      </c>
    </row>
    <row r="62" spans="1:14" x14ac:dyDescent="0.2">
      <c r="A62" t="str">
        <f t="shared" si="14"/>
        <v>SGLARTC</v>
      </c>
      <c r="C62" s="39">
        <f t="shared" si="16"/>
        <v>0.66666666666666663</v>
      </c>
      <c r="D62" s="39">
        <f t="shared" si="16"/>
        <v>0.42857142857142855</v>
      </c>
      <c r="E62" s="39">
        <f t="shared" si="16"/>
        <v>0.57894736842105265</v>
      </c>
      <c r="F62" s="39">
        <f t="shared" si="16"/>
        <v>0.4642857142857143</v>
      </c>
      <c r="G62" s="39">
        <f t="shared" si="16"/>
        <v>0.66666666666666663</v>
      </c>
      <c r="H62" s="39">
        <f t="shared" si="16"/>
        <v>0.42857142857142855</v>
      </c>
      <c r="I62" s="39">
        <f t="shared" si="16"/>
        <v>0.57894736842105265</v>
      </c>
      <c r="J62" s="39">
        <f t="shared" si="16"/>
        <v>0.4642857142857143</v>
      </c>
      <c r="K62" s="39">
        <f t="shared" si="16"/>
        <v>0.66666666666666674</v>
      </c>
      <c r="L62" s="39">
        <f t="shared" si="16"/>
        <v>0.4285714285714286</v>
      </c>
      <c r="M62" s="39">
        <f t="shared" si="16"/>
        <v>0.57894736842105265</v>
      </c>
      <c r="N62" s="39">
        <f t="shared" si="16"/>
        <v>0.4642857142857143</v>
      </c>
    </row>
    <row r="63" spans="1:14" x14ac:dyDescent="0.2">
      <c r="A63" t="str">
        <f t="shared" si="14"/>
        <v>DBLARTC</v>
      </c>
      <c r="C63" s="39">
        <f t="shared" si="16"/>
        <v>0.6</v>
      </c>
      <c r="D63" s="39">
        <f t="shared" si="16"/>
        <v>0.54545454545454541</v>
      </c>
      <c r="E63" s="39">
        <f t="shared" si="16"/>
        <v>0.55208333333333337</v>
      </c>
      <c r="F63" s="39">
        <f t="shared" si="16"/>
        <v>0.48113207547169817</v>
      </c>
      <c r="G63" s="39">
        <f t="shared" si="16"/>
        <v>0.60000000000000009</v>
      </c>
      <c r="H63" s="39">
        <f t="shared" si="16"/>
        <v>0.54545454545454541</v>
      </c>
      <c r="I63" s="39">
        <f t="shared" si="16"/>
        <v>0.55208333333333326</v>
      </c>
      <c r="J63" s="39">
        <f t="shared" si="16"/>
        <v>0.48113207547169817</v>
      </c>
      <c r="K63" s="39">
        <f t="shared" si="16"/>
        <v>0.6</v>
      </c>
      <c r="L63" s="39">
        <f t="shared" si="16"/>
        <v>0.54545454545454541</v>
      </c>
      <c r="M63" s="39">
        <f t="shared" si="16"/>
        <v>0.55208333333333337</v>
      </c>
      <c r="N63" s="39">
        <f t="shared" si="16"/>
        <v>0.48113207547169806</v>
      </c>
    </row>
    <row r="64" spans="1:14" x14ac:dyDescent="0.2">
      <c r="A64" t="str">
        <f t="shared" si="14"/>
        <v>RDTRAIN</v>
      </c>
      <c r="C64" s="39">
        <f t="shared" si="16"/>
        <v>0.5</v>
      </c>
      <c r="D64" s="39">
        <f t="shared" si="16"/>
        <v>0.5</v>
      </c>
      <c r="E64" s="39">
        <f t="shared" si="16"/>
        <v>0.5</v>
      </c>
      <c r="F64" s="39">
        <f t="shared" si="16"/>
        <v>0.5</v>
      </c>
      <c r="G64" s="39">
        <f t="shared" si="16"/>
        <v>0.5</v>
      </c>
      <c r="H64" s="39">
        <f t="shared" si="16"/>
        <v>0.5</v>
      </c>
      <c r="I64" s="39">
        <f t="shared" si="16"/>
        <v>0.5</v>
      </c>
      <c r="J64" s="39">
        <f t="shared" si="16"/>
        <v>0.5</v>
      </c>
      <c r="K64" s="39">
        <f t="shared" si="16"/>
        <v>0.5</v>
      </c>
      <c r="L64" s="39">
        <f t="shared" si="16"/>
        <v>0.5</v>
      </c>
      <c r="M64" s="39">
        <f t="shared" si="16"/>
        <v>0.5</v>
      </c>
      <c r="N64" s="39">
        <f t="shared" si="16"/>
        <v>0.5</v>
      </c>
    </row>
    <row r="66" spans="1:14" x14ac:dyDescent="0.2">
      <c r="A66" t="s">
        <v>93</v>
      </c>
    </row>
    <row r="67" spans="1:14" x14ac:dyDescent="0.2">
      <c r="A67" s="1" t="s">
        <v>94</v>
      </c>
    </row>
    <row r="68" spans="1:14" x14ac:dyDescent="0.2">
      <c r="A68" s="1" t="s">
        <v>95</v>
      </c>
    </row>
    <row r="69" spans="1:14" x14ac:dyDescent="0.2">
      <c r="A69" t="str">
        <f t="shared" ref="A69:A74" si="17">A51</f>
        <v>CARS</v>
      </c>
      <c r="C69" s="20">
        <f t="shared" ref="C69:N69" si="18">C8+C19</f>
        <v>142</v>
      </c>
      <c r="D69" s="20">
        <f t="shared" si="18"/>
        <v>163</v>
      </c>
      <c r="E69" s="20">
        <f t="shared" si="18"/>
        <v>125.5</v>
      </c>
      <c r="F69" s="20">
        <f t="shared" si="18"/>
        <v>26.666666666666664</v>
      </c>
      <c r="G69" s="20">
        <f t="shared" si="18"/>
        <v>173.95</v>
      </c>
      <c r="H69" s="20">
        <f t="shared" si="18"/>
        <v>199.67500000000001</v>
      </c>
      <c r="I69" s="20">
        <f t="shared" si="18"/>
        <v>153.73750000000001</v>
      </c>
      <c r="J69" s="20">
        <f t="shared" si="18"/>
        <v>32.666666666666671</v>
      </c>
      <c r="K69" s="20">
        <f t="shared" si="18"/>
        <v>205.89999999999998</v>
      </c>
      <c r="L69" s="20">
        <f t="shared" si="18"/>
        <v>236.35</v>
      </c>
      <c r="M69" s="20">
        <f t="shared" si="18"/>
        <v>181.97499999999999</v>
      </c>
      <c r="N69" s="20">
        <f t="shared" si="18"/>
        <v>38.666666666666664</v>
      </c>
    </row>
    <row r="70" spans="1:14" x14ac:dyDescent="0.2">
      <c r="A70" t="str">
        <f t="shared" si="17"/>
        <v>CAR TOW</v>
      </c>
      <c r="C70" s="20">
        <f t="shared" ref="C70:N70" si="19">C9+C20</f>
        <v>9</v>
      </c>
      <c r="D70" s="20">
        <f t="shared" si="19"/>
        <v>10</v>
      </c>
      <c r="E70" s="20">
        <f t="shared" si="19"/>
        <v>10.3</v>
      </c>
      <c r="F70" s="20">
        <f t="shared" si="19"/>
        <v>1.1666666666666667</v>
      </c>
      <c r="G70" s="20">
        <f t="shared" si="19"/>
        <v>11.025</v>
      </c>
      <c r="H70" s="20">
        <f t="shared" si="19"/>
        <v>12.25</v>
      </c>
      <c r="I70" s="20">
        <f t="shared" si="19"/>
        <v>12.6175</v>
      </c>
      <c r="J70" s="20">
        <f t="shared" si="19"/>
        <v>1.4291666666666669</v>
      </c>
      <c r="K70" s="20">
        <f t="shared" si="19"/>
        <v>13.049999999999999</v>
      </c>
      <c r="L70" s="20">
        <f t="shared" si="19"/>
        <v>14.5</v>
      </c>
      <c r="M70" s="20">
        <f t="shared" si="19"/>
        <v>14.934999999999999</v>
      </c>
      <c r="N70" s="20">
        <f t="shared" si="19"/>
        <v>1.6916666666666667</v>
      </c>
    </row>
    <row r="71" spans="1:14" x14ac:dyDescent="0.2">
      <c r="A71" t="str">
        <f t="shared" si="17"/>
        <v>RIGIDS</v>
      </c>
      <c r="C71" s="20">
        <f t="shared" ref="C71:N71" si="20">C10+C21</f>
        <v>10</v>
      </c>
      <c r="D71" s="20">
        <f t="shared" si="20"/>
        <v>13</v>
      </c>
      <c r="E71" s="20">
        <f t="shared" si="20"/>
        <v>9.5</v>
      </c>
      <c r="F71" s="20">
        <f t="shared" si="20"/>
        <v>1.25</v>
      </c>
      <c r="G71" s="20">
        <f t="shared" si="20"/>
        <v>12.25</v>
      </c>
      <c r="H71" s="20">
        <f t="shared" si="20"/>
        <v>15.925000000000001</v>
      </c>
      <c r="I71" s="20">
        <f t="shared" si="20"/>
        <v>11.637499999999999</v>
      </c>
      <c r="J71" s="20">
        <f t="shared" si="20"/>
        <v>1.53125</v>
      </c>
      <c r="K71" s="20">
        <f t="shared" si="20"/>
        <v>14.5</v>
      </c>
      <c r="L71" s="20">
        <f t="shared" si="20"/>
        <v>18.850000000000001</v>
      </c>
      <c r="M71" s="20">
        <f t="shared" si="20"/>
        <v>13.775</v>
      </c>
      <c r="N71" s="20">
        <f t="shared" si="20"/>
        <v>1.8125</v>
      </c>
    </row>
    <row r="72" spans="1:14" x14ac:dyDescent="0.2">
      <c r="A72" t="str">
        <f t="shared" si="17"/>
        <v>SGLARTC</v>
      </c>
      <c r="C72" s="20">
        <f t="shared" ref="C72:N72" si="21">C11+C22</f>
        <v>6</v>
      </c>
      <c r="D72" s="20">
        <f t="shared" si="21"/>
        <v>7</v>
      </c>
      <c r="E72" s="20">
        <f t="shared" si="21"/>
        <v>7.6000000000000005</v>
      </c>
      <c r="F72" s="20">
        <f t="shared" si="21"/>
        <v>4.6666666666666661</v>
      </c>
      <c r="G72" s="20">
        <f t="shared" si="21"/>
        <v>7.3500000000000005</v>
      </c>
      <c r="H72" s="20">
        <f t="shared" si="21"/>
        <v>8.5750000000000011</v>
      </c>
      <c r="I72" s="20">
        <f t="shared" si="21"/>
        <v>9.31</v>
      </c>
      <c r="J72" s="20">
        <f t="shared" si="21"/>
        <v>5.7166666666666668</v>
      </c>
      <c r="K72" s="20">
        <f t="shared" si="21"/>
        <v>8.6999999999999993</v>
      </c>
      <c r="L72" s="20">
        <f t="shared" si="21"/>
        <v>10.149999999999999</v>
      </c>
      <c r="M72" s="20">
        <f t="shared" si="21"/>
        <v>11.02</v>
      </c>
      <c r="N72" s="20">
        <f t="shared" si="21"/>
        <v>6.7666666666666657</v>
      </c>
    </row>
    <row r="73" spans="1:14" x14ac:dyDescent="0.2">
      <c r="A73" t="str">
        <f t="shared" si="17"/>
        <v>DBLARTC</v>
      </c>
      <c r="C73" s="20">
        <f t="shared" ref="C73:N73" si="22">C12+C23</f>
        <v>10</v>
      </c>
      <c r="D73" s="20">
        <f t="shared" si="22"/>
        <v>11</v>
      </c>
      <c r="E73" s="20">
        <f t="shared" si="22"/>
        <v>9.6</v>
      </c>
      <c r="F73" s="20">
        <f t="shared" si="22"/>
        <v>8.8333333333333321</v>
      </c>
      <c r="G73" s="20">
        <f t="shared" si="22"/>
        <v>12.25</v>
      </c>
      <c r="H73" s="20">
        <f t="shared" si="22"/>
        <v>13.475000000000001</v>
      </c>
      <c r="I73" s="20">
        <f t="shared" si="22"/>
        <v>11.760000000000002</v>
      </c>
      <c r="J73" s="20">
        <f t="shared" si="22"/>
        <v>10.820833333333333</v>
      </c>
      <c r="K73" s="20">
        <f t="shared" si="22"/>
        <v>14.5</v>
      </c>
      <c r="L73" s="20">
        <f t="shared" si="22"/>
        <v>15.95</v>
      </c>
      <c r="M73" s="20">
        <f t="shared" si="22"/>
        <v>13.919999999999998</v>
      </c>
      <c r="N73" s="20">
        <f t="shared" si="22"/>
        <v>12.808333333333334</v>
      </c>
    </row>
    <row r="74" spans="1:14" x14ac:dyDescent="0.2">
      <c r="A74" t="str">
        <f t="shared" si="17"/>
        <v>RDTRAIN</v>
      </c>
      <c r="C74" s="20">
        <f t="shared" ref="C74:N74" si="23">C13+C24</f>
        <v>0</v>
      </c>
      <c r="D74" s="20">
        <f t="shared" si="23"/>
        <v>0</v>
      </c>
      <c r="E74" s="20">
        <f t="shared" si="23"/>
        <v>0</v>
      </c>
      <c r="F74" s="20">
        <f t="shared" si="23"/>
        <v>0</v>
      </c>
      <c r="G74" s="20">
        <f t="shared" si="23"/>
        <v>0</v>
      </c>
      <c r="H74" s="20">
        <f t="shared" si="23"/>
        <v>0</v>
      </c>
      <c r="I74" s="20">
        <f t="shared" si="23"/>
        <v>0</v>
      </c>
      <c r="J74" s="20">
        <f t="shared" si="23"/>
        <v>0</v>
      </c>
      <c r="K74" s="20">
        <f t="shared" si="23"/>
        <v>0</v>
      </c>
      <c r="L74" s="20">
        <f t="shared" si="23"/>
        <v>0</v>
      </c>
      <c r="M74" s="20">
        <f t="shared" si="23"/>
        <v>0</v>
      </c>
      <c r="N74" s="20">
        <f t="shared" si="23"/>
        <v>0</v>
      </c>
    </row>
    <row r="75" spans="1:14" x14ac:dyDescent="0.2">
      <c r="H75" s="7"/>
    </row>
    <row r="76" spans="1:14" x14ac:dyDescent="0.2">
      <c r="H76" s="7"/>
    </row>
    <row r="77" spans="1:14" x14ac:dyDescent="0.2">
      <c r="A77" t="s">
        <v>96</v>
      </c>
      <c r="C77" s="210">
        <v>1</v>
      </c>
      <c r="D77" s="210">
        <v>1</v>
      </c>
      <c r="E77" s="210">
        <v>1</v>
      </c>
      <c r="F77" s="210">
        <v>1</v>
      </c>
      <c r="G77" s="210">
        <v>1</v>
      </c>
      <c r="H77" s="210">
        <v>1</v>
      </c>
      <c r="I77" s="210">
        <v>1</v>
      </c>
      <c r="J77" s="210">
        <v>1</v>
      </c>
      <c r="K77" s="210">
        <v>1</v>
      </c>
      <c r="L77" s="210">
        <v>1</v>
      </c>
      <c r="M77" s="210">
        <v>1</v>
      </c>
      <c r="N77" s="210">
        <v>1</v>
      </c>
    </row>
    <row r="78" spans="1:14" ht="12.75" customHeight="1" x14ac:dyDescent="0.2">
      <c r="A78" t="s">
        <v>97</v>
      </c>
      <c r="C78" s="210">
        <v>1</v>
      </c>
      <c r="D78" s="210">
        <v>1</v>
      </c>
      <c r="E78" s="210">
        <v>1</v>
      </c>
      <c r="F78" s="210">
        <v>1</v>
      </c>
      <c r="G78" s="210">
        <v>1</v>
      </c>
      <c r="H78" s="210">
        <v>1</v>
      </c>
      <c r="I78" s="210">
        <v>1</v>
      </c>
      <c r="J78" s="210">
        <v>1</v>
      </c>
      <c r="K78" s="210">
        <v>1</v>
      </c>
      <c r="L78" s="210">
        <v>1</v>
      </c>
      <c r="M78" s="210">
        <v>1</v>
      </c>
      <c r="N78" s="210">
        <v>1</v>
      </c>
    </row>
    <row r="79" spans="1:14" x14ac:dyDescent="0.2">
      <c r="A79" t="s">
        <v>98</v>
      </c>
      <c r="C79" s="210">
        <v>1</v>
      </c>
      <c r="D79" s="210">
        <v>1</v>
      </c>
      <c r="E79" s="210">
        <v>1</v>
      </c>
      <c r="F79" s="210">
        <v>1</v>
      </c>
      <c r="G79" s="210">
        <v>1</v>
      </c>
      <c r="H79" s="210">
        <v>1</v>
      </c>
      <c r="I79" s="210">
        <v>1</v>
      </c>
      <c r="J79" s="210">
        <v>1</v>
      </c>
      <c r="K79" s="210">
        <v>1</v>
      </c>
      <c r="L79" s="210">
        <v>1</v>
      </c>
      <c r="M79" s="210">
        <v>1</v>
      </c>
      <c r="N79" s="210">
        <v>1</v>
      </c>
    </row>
    <row r="80" spans="1:14" x14ac:dyDescent="0.2">
      <c r="A80" t="s">
        <v>99</v>
      </c>
      <c r="C80" s="210">
        <v>1</v>
      </c>
      <c r="D80" s="210">
        <v>1</v>
      </c>
      <c r="E80" s="210">
        <v>1</v>
      </c>
      <c r="F80" s="210">
        <v>1</v>
      </c>
      <c r="G80" s="210">
        <v>1</v>
      </c>
      <c r="H80" s="210">
        <v>1</v>
      </c>
      <c r="I80" s="210">
        <v>1</v>
      </c>
      <c r="J80" s="210">
        <v>1</v>
      </c>
      <c r="K80" s="210">
        <v>1</v>
      </c>
      <c r="L80" s="210">
        <v>1</v>
      </c>
      <c r="M80" s="210">
        <v>1</v>
      </c>
      <c r="N80" s="210">
        <v>1</v>
      </c>
    </row>
    <row r="81" spans="1:14" x14ac:dyDescent="0.2">
      <c r="A81" t="s">
        <v>100</v>
      </c>
      <c r="C81" s="210">
        <v>1</v>
      </c>
      <c r="D81" s="210">
        <v>1</v>
      </c>
      <c r="E81" s="210">
        <v>1</v>
      </c>
      <c r="F81" s="210">
        <v>1</v>
      </c>
      <c r="G81" s="210">
        <v>1</v>
      </c>
      <c r="H81" s="210">
        <v>1</v>
      </c>
      <c r="I81" s="210">
        <v>1</v>
      </c>
      <c r="J81" s="210">
        <v>1</v>
      </c>
      <c r="K81" s="210">
        <v>1</v>
      </c>
      <c r="L81" s="210">
        <v>1</v>
      </c>
      <c r="M81" s="210">
        <v>1</v>
      </c>
      <c r="N81" s="210">
        <v>1</v>
      </c>
    </row>
    <row r="82" spans="1:14" x14ac:dyDescent="0.2">
      <c r="A82" t="s">
        <v>101</v>
      </c>
      <c r="C82" s="210">
        <v>1</v>
      </c>
      <c r="D82" s="210">
        <v>1</v>
      </c>
      <c r="E82" s="210">
        <v>1</v>
      </c>
      <c r="F82" s="210">
        <v>1</v>
      </c>
      <c r="G82" s="210">
        <v>1</v>
      </c>
      <c r="H82" s="210">
        <v>1</v>
      </c>
      <c r="I82" s="210">
        <v>1</v>
      </c>
      <c r="J82" s="210">
        <v>1</v>
      </c>
      <c r="K82" s="210">
        <v>1</v>
      </c>
      <c r="L82" s="210">
        <v>1</v>
      </c>
      <c r="M82" s="210">
        <v>1</v>
      </c>
      <c r="N82" s="210">
        <v>1</v>
      </c>
    </row>
    <row r="83" spans="1:14" ht="12.75" customHeight="1" x14ac:dyDescent="0.2">
      <c r="A83" t="s">
        <v>102</v>
      </c>
      <c r="C83" s="210">
        <v>1</v>
      </c>
      <c r="D83" s="210">
        <v>1</v>
      </c>
      <c r="E83" s="210">
        <v>1</v>
      </c>
      <c r="F83" s="210">
        <v>1</v>
      </c>
      <c r="G83" s="210">
        <v>1</v>
      </c>
      <c r="H83" s="210">
        <v>1</v>
      </c>
      <c r="I83" s="210">
        <v>1</v>
      </c>
      <c r="J83" s="210">
        <v>1</v>
      </c>
      <c r="K83" s="210">
        <v>1</v>
      </c>
      <c r="L83" s="210">
        <v>1</v>
      </c>
      <c r="M83" s="210">
        <v>1</v>
      </c>
      <c r="N83" s="210">
        <v>1</v>
      </c>
    </row>
    <row r="84" spans="1:14" x14ac:dyDescent="0.2">
      <c r="A84" t="s">
        <v>103</v>
      </c>
      <c r="C84" s="210">
        <v>1</v>
      </c>
      <c r="D84" s="210">
        <v>1</v>
      </c>
      <c r="E84" s="210">
        <v>1</v>
      </c>
      <c r="F84" s="210">
        <v>1</v>
      </c>
      <c r="G84" s="210">
        <v>1</v>
      </c>
      <c r="H84" s="210">
        <v>1</v>
      </c>
      <c r="I84" s="210">
        <v>1</v>
      </c>
      <c r="J84" s="210">
        <v>1</v>
      </c>
      <c r="K84" s="210">
        <v>1</v>
      </c>
      <c r="L84" s="210">
        <v>1</v>
      </c>
      <c r="M84" s="210">
        <v>1</v>
      </c>
      <c r="N84" s="210">
        <v>1</v>
      </c>
    </row>
    <row r="85" spans="1:14" x14ac:dyDescent="0.2">
      <c r="A85" t="s">
        <v>104</v>
      </c>
      <c r="C85" s="210">
        <v>1</v>
      </c>
      <c r="D85" s="210">
        <v>1</v>
      </c>
      <c r="E85" s="210">
        <v>1</v>
      </c>
      <c r="F85" s="210">
        <v>1</v>
      </c>
      <c r="G85" s="210">
        <v>1</v>
      </c>
      <c r="H85" s="210">
        <v>1</v>
      </c>
      <c r="I85" s="210">
        <v>1</v>
      </c>
      <c r="J85" s="210">
        <v>1</v>
      </c>
      <c r="K85" s="210">
        <v>1</v>
      </c>
      <c r="L85" s="210">
        <v>1</v>
      </c>
      <c r="M85" s="210">
        <v>1</v>
      </c>
      <c r="N85" s="210">
        <v>1</v>
      </c>
    </row>
    <row r="86" spans="1:14" x14ac:dyDescent="0.2">
      <c r="A86" t="s">
        <v>105</v>
      </c>
      <c r="C86" s="210">
        <v>1</v>
      </c>
      <c r="D86" s="210">
        <v>1</v>
      </c>
      <c r="E86" s="210">
        <v>1</v>
      </c>
      <c r="F86" s="210">
        <v>1</v>
      </c>
      <c r="G86" s="210">
        <v>1</v>
      </c>
      <c r="H86" s="210">
        <v>1</v>
      </c>
      <c r="I86" s="210">
        <v>1</v>
      </c>
      <c r="J86" s="210">
        <v>1</v>
      </c>
      <c r="K86" s="210">
        <v>1</v>
      </c>
      <c r="L86" s="210">
        <v>1</v>
      </c>
      <c r="M86" s="210">
        <v>1</v>
      </c>
      <c r="N86" s="210">
        <v>1</v>
      </c>
    </row>
    <row r="88" spans="1:14" x14ac:dyDescent="0.2">
      <c r="A88" t="s">
        <v>106</v>
      </c>
      <c r="C88" s="210">
        <v>357980</v>
      </c>
      <c r="D88" s="210">
        <v>164252</v>
      </c>
      <c r="E88" s="210">
        <v>764072</v>
      </c>
      <c r="F88" s="210">
        <v>397344</v>
      </c>
      <c r="G88" s="210">
        <v>110551</v>
      </c>
      <c r="H88" s="210">
        <v>95395</v>
      </c>
      <c r="I88" s="210">
        <v>789088</v>
      </c>
      <c r="J88" s="210">
        <v>444685</v>
      </c>
      <c r="K88" s="210">
        <v>258313</v>
      </c>
      <c r="L88" s="210">
        <v>930522</v>
      </c>
      <c r="M88" s="210">
        <v>118920</v>
      </c>
      <c r="N88" s="210">
        <v>908783</v>
      </c>
    </row>
    <row r="89" spans="1:14" x14ac:dyDescent="0.2">
      <c r="A89" t="s">
        <v>107</v>
      </c>
      <c r="C89" s="210">
        <v>933608</v>
      </c>
      <c r="D89" s="210">
        <v>420217</v>
      </c>
      <c r="E89" s="210">
        <v>316749</v>
      </c>
      <c r="F89" s="210">
        <v>949788</v>
      </c>
      <c r="G89" s="210">
        <v>337832</v>
      </c>
      <c r="H89" s="210">
        <v>742799</v>
      </c>
      <c r="I89" s="210">
        <v>934696</v>
      </c>
      <c r="J89" s="210">
        <v>310799</v>
      </c>
      <c r="K89" s="210">
        <v>505507</v>
      </c>
      <c r="L89" s="210">
        <v>390603</v>
      </c>
      <c r="M89" s="210">
        <v>106477</v>
      </c>
      <c r="N89" s="210">
        <v>596452</v>
      </c>
    </row>
    <row r="90" spans="1:14" ht="12.75" customHeight="1" x14ac:dyDescent="0.2">
      <c r="A90" t="s">
        <v>108</v>
      </c>
      <c r="C90" s="210">
        <v>357060</v>
      </c>
      <c r="D90" s="210">
        <v>941364</v>
      </c>
      <c r="E90" s="210">
        <v>144584</v>
      </c>
      <c r="F90" s="210">
        <v>255967</v>
      </c>
      <c r="G90" s="210">
        <v>726625</v>
      </c>
      <c r="H90" s="210">
        <v>488396</v>
      </c>
      <c r="I90" s="210">
        <v>671578</v>
      </c>
      <c r="J90" s="210">
        <v>183647</v>
      </c>
      <c r="K90" s="210">
        <v>65277</v>
      </c>
      <c r="L90" s="210">
        <v>640040</v>
      </c>
      <c r="M90" s="210">
        <v>148898</v>
      </c>
      <c r="N90" s="210">
        <v>846105</v>
      </c>
    </row>
    <row r="91" spans="1:14" x14ac:dyDescent="0.2">
      <c r="A91" t="s">
        <v>109</v>
      </c>
      <c r="C91" s="210">
        <v>101190</v>
      </c>
      <c r="D91" s="210">
        <v>640509</v>
      </c>
      <c r="E91" s="210">
        <v>402886</v>
      </c>
      <c r="F91" s="210">
        <v>62201</v>
      </c>
      <c r="G91" s="210">
        <v>951583</v>
      </c>
      <c r="H91" s="210">
        <v>923254</v>
      </c>
      <c r="I91" s="210">
        <v>571086</v>
      </c>
      <c r="J91" s="210">
        <v>759259</v>
      </c>
      <c r="K91" s="210">
        <v>521808</v>
      </c>
      <c r="L91" s="210">
        <v>661623</v>
      </c>
      <c r="M91" s="210">
        <v>734155</v>
      </c>
      <c r="N91" s="210">
        <v>737542</v>
      </c>
    </row>
    <row r="92" spans="1:14" x14ac:dyDescent="0.2">
      <c r="A92" t="s">
        <v>110</v>
      </c>
      <c r="C92" s="210">
        <v>657407</v>
      </c>
      <c r="D92" s="210">
        <v>452998</v>
      </c>
      <c r="E92" s="210">
        <v>578143</v>
      </c>
      <c r="F92" s="210">
        <v>936582</v>
      </c>
      <c r="G92" s="210">
        <v>572159</v>
      </c>
      <c r="H92" s="210">
        <v>766327</v>
      </c>
      <c r="I92" s="210">
        <v>2016</v>
      </c>
      <c r="J92" s="210">
        <v>436068</v>
      </c>
      <c r="K92" s="210">
        <v>32553</v>
      </c>
      <c r="L92" s="210">
        <v>884552</v>
      </c>
      <c r="M92" s="210">
        <v>860014</v>
      </c>
      <c r="N92" s="210">
        <v>623940</v>
      </c>
    </row>
    <row r="93" spans="1:14" ht="13.5" customHeight="1" x14ac:dyDescent="0.2">
      <c r="A93" t="s">
        <v>111</v>
      </c>
      <c r="C93" s="210">
        <v>730035</v>
      </c>
      <c r="D93" s="210">
        <v>705221</v>
      </c>
      <c r="E93" s="210">
        <v>432069</v>
      </c>
      <c r="F93" s="210">
        <v>21817</v>
      </c>
      <c r="G93" s="210">
        <v>765949</v>
      </c>
      <c r="H93" s="210">
        <v>695279</v>
      </c>
      <c r="I93" s="210">
        <v>669236</v>
      </c>
      <c r="J93" s="210">
        <v>753869</v>
      </c>
      <c r="K93" s="210">
        <v>2008</v>
      </c>
      <c r="L93" s="210">
        <v>634419</v>
      </c>
      <c r="M93" s="210">
        <v>410838</v>
      </c>
      <c r="N93" s="210">
        <v>171911</v>
      </c>
    </row>
    <row r="94" spans="1:14" ht="13.5" customHeight="1" x14ac:dyDescent="0.2">
      <c r="A94" t="s">
        <v>112</v>
      </c>
      <c r="C94" s="210">
        <v>499206</v>
      </c>
      <c r="D94" s="210">
        <v>907958</v>
      </c>
      <c r="E94" s="210">
        <v>408713</v>
      </c>
      <c r="F94" s="210">
        <v>181653</v>
      </c>
      <c r="G94" s="210">
        <v>580172</v>
      </c>
      <c r="H94" s="210">
        <v>171605</v>
      </c>
      <c r="I94" s="210">
        <v>380699</v>
      </c>
      <c r="J94" s="210">
        <v>277434</v>
      </c>
      <c r="K94" s="210">
        <v>798740</v>
      </c>
      <c r="L94" s="210">
        <v>163196</v>
      </c>
      <c r="M94" s="210">
        <v>254857</v>
      </c>
      <c r="N94" s="210">
        <v>68522</v>
      </c>
    </row>
    <row r="95" spans="1:14" ht="13.5" customHeight="1" x14ac:dyDescent="0.2">
      <c r="A95" t="s">
        <v>113</v>
      </c>
      <c r="C95" s="210">
        <v>670690</v>
      </c>
      <c r="D95" s="210">
        <v>924259</v>
      </c>
      <c r="E95" s="210">
        <v>360342</v>
      </c>
      <c r="F95" s="210">
        <v>430536</v>
      </c>
      <c r="G95" s="210">
        <v>873835</v>
      </c>
      <c r="H95" s="210">
        <v>202110</v>
      </c>
      <c r="I95" s="210">
        <v>715038</v>
      </c>
      <c r="J95" s="210">
        <v>205999</v>
      </c>
      <c r="K95" s="210">
        <v>455235</v>
      </c>
      <c r="L95" s="210">
        <v>623387</v>
      </c>
      <c r="M95" s="210">
        <v>376259</v>
      </c>
      <c r="N95" s="210">
        <v>332249</v>
      </c>
    </row>
    <row r="96" spans="1:14" ht="13.5" customHeight="1" x14ac:dyDescent="0.2">
      <c r="A96" t="s">
        <v>114</v>
      </c>
      <c r="C96" s="210">
        <v>406600</v>
      </c>
      <c r="D96" s="210">
        <v>547277</v>
      </c>
      <c r="E96" s="210">
        <v>782338</v>
      </c>
      <c r="F96" s="210">
        <v>130589</v>
      </c>
      <c r="G96" s="210">
        <v>173669</v>
      </c>
      <c r="H96" s="210">
        <v>450739</v>
      </c>
      <c r="I96" s="210">
        <v>96779</v>
      </c>
      <c r="J96" s="210">
        <v>367911</v>
      </c>
      <c r="K96" s="210">
        <v>228846</v>
      </c>
      <c r="L96" s="210">
        <v>750379</v>
      </c>
      <c r="M96" s="210">
        <v>492176</v>
      </c>
      <c r="N96" s="210">
        <v>555806</v>
      </c>
    </row>
    <row r="97" spans="1:14" ht="13.5" customHeight="1" x14ac:dyDescent="0.2">
      <c r="A97" t="s">
        <v>115</v>
      </c>
      <c r="C97" s="210">
        <v>616708</v>
      </c>
      <c r="D97" s="210">
        <v>537026</v>
      </c>
      <c r="E97" s="210">
        <v>774144</v>
      </c>
      <c r="F97" s="210">
        <v>94556</v>
      </c>
      <c r="G97" s="210">
        <v>267432</v>
      </c>
      <c r="H97" s="210">
        <v>314176</v>
      </c>
      <c r="I97" s="210">
        <v>347778</v>
      </c>
      <c r="J97" s="210">
        <v>250043</v>
      </c>
      <c r="K97" s="210">
        <v>116692</v>
      </c>
      <c r="L97" s="210">
        <v>314214</v>
      </c>
      <c r="M97" s="210">
        <v>694482</v>
      </c>
      <c r="N97" s="210">
        <v>36024</v>
      </c>
    </row>
    <row r="98" spans="1:14" ht="13.5" customHeight="1" x14ac:dyDescent="0.2"/>
  </sheetData>
  <pageMargins left="0.39374999999999999" right="0.39374999999999999" top="0.98402777777777795" bottom="0.9840277777777779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4"/>
  <sheetViews>
    <sheetView zoomScaleNormal="100" workbookViewId="0"/>
  </sheetViews>
  <sheetFormatPr defaultRowHeight="12.75" x14ac:dyDescent="0.2"/>
  <cols>
    <col min="1" max="1" width="2.28515625" customWidth="1"/>
    <col min="2" max="1025" width="8.7109375" customWidth="1"/>
  </cols>
  <sheetData>
    <row r="1" spans="1:18" x14ac:dyDescent="0.2">
      <c r="A1" s="198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1:18" x14ac:dyDescent="0.2">
      <c r="A2" s="41"/>
      <c r="B2" s="112" t="s">
        <v>247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</row>
    <row r="3" spans="1:18" x14ac:dyDescent="0.2">
      <c r="A3" s="41"/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</row>
    <row r="4" spans="1:18" ht="15.75" x14ac:dyDescent="0.25">
      <c r="A4" s="41"/>
      <c r="B4" s="172" t="s">
        <v>116</v>
      </c>
      <c r="C4" s="173" t="s">
        <v>248</v>
      </c>
      <c r="D4" s="174"/>
      <c r="E4" s="174"/>
      <c r="F4" s="174"/>
      <c r="G4" s="174"/>
      <c r="H4" s="174"/>
      <c r="I4" s="174"/>
      <c r="J4" s="174"/>
      <c r="K4" s="174"/>
      <c r="L4" s="174"/>
      <c r="M4" s="175" t="s">
        <v>249</v>
      </c>
      <c r="N4" s="175"/>
      <c r="O4" s="175"/>
      <c r="P4" s="175" t="s">
        <v>120</v>
      </c>
      <c r="Q4" s="175"/>
      <c r="R4" s="176"/>
    </row>
    <row r="5" spans="1:18" x14ac:dyDescent="0.2">
      <c r="A5" s="41"/>
      <c r="B5" s="177" t="s">
        <v>117</v>
      </c>
      <c r="C5" s="178" t="s">
        <v>250</v>
      </c>
      <c r="D5" s="178"/>
      <c r="E5" s="178"/>
      <c r="F5" s="179"/>
      <c r="G5" s="122" t="s">
        <v>118</v>
      </c>
      <c r="H5" s="111"/>
      <c r="I5" s="111"/>
      <c r="J5" s="124">
        <v>1276</v>
      </c>
      <c r="K5" s="124"/>
      <c r="L5" s="121"/>
      <c r="M5" s="180"/>
      <c r="N5" s="181"/>
      <c r="O5" s="181"/>
      <c r="P5" s="180"/>
      <c r="Q5" s="181"/>
      <c r="R5" s="182"/>
    </row>
    <row r="6" spans="1:18" x14ac:dyDescent="0.2">
      <c r="A6" s="41"/>
      <c r="B6" s="177"/>
      <c r="C6" s="178"/>
      <c r="D6" s="178"/>
      <c r="E6" s="178"/>
      <c r="F6" s="179"/>
      <c r="G6" s="120" t="s">
        <v>119</v>
      </c>
      <c r="H6" s="110"/>
      <c r="I6" s="110"/>
      <c r="J6" s="119">
        <v>90.3</v>
      </c>
      <c r="K6" s="119"/>
      <c r="L6" s="109"/>
      <c r="M6" s="180"/>
      <c r="N6" s="181"/>
      <c r="O6" s="181"/>
      <c r="P6" s="180"/>
      <c r="Q6" s="181"/>
      <c r="R6" s="182"/>
    </row>
    <row r="7" spans="1:18" ht="15.75" x14ac:dyDescent="0.25">
      <c r="A7" s="41"/>
      <c r="B7" s="183" t="s">
        <v>121</v>
      </c>
      <c r="C7" s="184">
        <v>95435</v>
      </c>
      <c r="D7" s="185"/>
      <c r="E7" s="185"/>
      <c r="F7" s="185"/>
      <c r="G7" s="120" t="s">
        <v>122</v>
      </c>
      <c r="H7" s="110"/>
      <c r="I7" s="110"/>
      <c r="J7" s="119">
        <v>94.2</v>
      </c>
      <c r="K7" s="119"/>
      <c r="L7" s="109"/>
      <c r="M7" s="185"/>
      <c r="N7" s="185"/>
      <c r="O7" s="185"/>
      <c r="P7" s="186" t="s">
        <v>125</v>
      </c>
      <c r="Q7" s="186"/>
      <c r="R7" s="187"/>
    </row>
    <row r="8" spans="1:18" x14ac:dyDescent="0.2">
      <c r="A8" s="41"/>
      <c r="B8" s="183" t="s">
        <v>123</v>
      </c>
      <c r="C8" s="188" t="s">
        <v>251</v>
      </c>
      <c r="D8" s="188"/>
      <c r="E8" s="189"/>
      <c r="F8" s="185"/>
      <c r="G8" s="108" t="s">
        <v>124</v>
      </c>
      <c r="H8" s="118"/>
      <c r="I8" s="118"/>
      <c r="J8" s="107">
        <v>0.20030000000000001</v>
      </c>
      <c r="K8" s="107"/>
      <c r="L8" s="117"/>
      <c r="M8" s="185"/>
      <c r="N8" s="185"/>
      <c r="O8" s="185"/>
      <c r="P8" s="180"/>
      <c r="Q8" s="190"/>
      <c r="R8" s="182"/>
    </row>
    <row r="9" spans="1:18" x14ac:dyDescent="0.2">
      <c r="A9" s="41"/>
      <c r="B9" s="191" t="s">
        <v>126</v>
      </c>
      <c r="C9" s="192" t="s">
        <v>252</v>
      </c>
      <c r="D9" s="192"/>
      <c r="E9" s="193"/>
      <c r="F9" s="193"/>
      <c r="G9" s="193"/>
      <c r="H9" s="193"/>
      <c r="I9" s="193"/>
      <c r="J9" s="193"/>
      <c r="K9" s="194"/>
      <c r="L9" s="192"/>
      <c r="M9" s="192"/>
      <c r="N9" s="195"/>
      <c r="O9" s="195"/>
      <c r="P9" s="195"/>
      <c r="Q9" s="196" t="s">
        <v>253</v>
      </c>
      <c r="R9" s="197"/>
    </row>
    <row r="10" spans="1:18" x14ac:dyDescent="0.2">
      <c r="A10" s="41"/>
      <c r="B10" s="123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</row>
    <row r="11" spans="1:18" x14ac:dyDescent="0.2">
      <c r="A11" s="41"/>
      <c r="B11" s="158" t="s">
        <v>127</v>
      </c>
      <c r="C11" s="159" t="s">
        <v>128</v>
      </c>
      <c r="D11" s="160"/>
      <c r="E11" s="160"/>
      <c r="F11" s="160"/>
      <c r="G11" s="160"/>
      <c r="H11" s="160"/>
      <c r="I11" s="160"/>
      <c r="J11" s="161" t="s">
        <v>254</v>
      </c>
      <c r="K11" s="161"/>
      <c r="L11" s="161"/>
      <c r="M11" s="161"/>
      <c r="N11" s="161"/>
      <c r="O11" s="161"/>
      <c r="P11" s="161"/>
      <c r="Q11" s="161"/>
      <c r="R11" s="162"/>
    </row>
    <row r="12" spans="1:18" x14ac:dyDescent="0.2">
      <c r="A12" s="41"/>
      <c r="B12" s="163"/>
      <c r="C12" s="164">
        <v>1</v>
      </c>
      <c r="D12" s="164">
        <v>2</v>
      </c>
      <c r="E12" s="164">
        <v>3</v>
      </c>
      <c r="F12" s="164">
        <v>4</v>
      </c>
      <c r="G12" s="164">
        <v>5</v>
      </c>
      <c r="H12" s="164">
        <v>6</v>
      </c>
      <c r="I12" s="164">
        <v>7</v>
      </c>
      <c r="J12" s="164">
        <v>8</v>
      </c>
      <c r="K12" s="164">
        <v>9</v>
      </c>
      <c r="L12" s="164">
        <v>10</v>
      </c>
      <c r="M12" s="164">
        <v>11</v>
      </c>
      <c r="N12" s="164">
        <v>12</v>
      </c>
      <c r="O12" s="164">
        <v>13</v>
      </c>
      <c r="P12" s="165" t="s">
        <v>129</v>
      </c>
      <c r="Q12" s="166" t="s">
        <v>130</v>
      </c>
      <c r="R12" s="167"/>
    </row>
    <row r="13" spans="1:18" x14ac:dyDescent="0.2">
      <c r="A13" s="41"/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70"/>
      <c r="Q13" s="167" t="s">
        <v>131</v>
      </c>
      <c r="R13" s="171" t="s">
        <v>132</v>
      </c>
    </row>
    <row r="14" spans="1:18" x14ac:dyDescent="0.2">
      <c r="A14" s="41" t="s">
        <v>40</v>
      </c>
      <c r="B14" s="129" t="s">
        <v>133</v>
      </c>
      <c r="C14" s="131">
        <v>3</v>
      </c>
      <c r="D14" s="131">
        <v>0</v>
      </c>
      <c r="E14" s="131">
        <v>0</v>
      </c>
      <c r="F14" s="131">
        <v>0</v>
      </c>
      <c r="G14" s="131">
        <v>0</v>
      </c>
      <c r="H14" s="131">
        <v>0</v>
      </c>
      <c r="I14" s="131">
        <v>0</v>
      </c>
      <c r="J14" s="131">
        <v>0</v>
      </c>
      <c r="K14" s="131">
        <v>2</v>
      </c>
      <c r="L14" s="131">
        <v>2</v>
      </c>
      <c r="M14" s="131">
        <v>0</v>
      </c>
      <c r="N14" s="131">
        <v>0</v>
      </c>
      <c r="O14" s="133">
        <v>0</v>
      </c>
      <c r="P14" s="137">
        <v>9</v>
      </c>
      <c r="Q14" s="139">
        <v>90.5</v>
      </c>
      <c r="R14" s="138" t="s">
        <v>134</v>
      </c>
    </row>
    <row r="15" spans="1:18" x14ac:dyDescent="0.2">
      <c r="A15" s="41" t="s">
        <v>40</v>
      </c>
      <c r="B15" s="129" t="s">
        <v>135</v>
      </c>
      <c r="C15" s="131">
        <v>2</v>
      </c>
      <c r="D15" s="131">
        <v>0</v>
      </c>
      <c r="E15" s="131">
        <v>0</v>
      </c>
      <c r="F15" s="131">
        <v>0</v>
      </c>
      <c r="G15" s="131">
        <v>0</v>
      </c>
      <c r="H15" s="131">
        <v>0</v>
      </c>
      <c r="I15" s="131">
        <v>0</v>
      </c>
      <c r="J15" s="131">
        <v>0</v>
      </c>
      <c r="K15" s="131">
        <v>1</v>
      </c>
      <c r="L15" s="131">
        <v>3</v>
      </c>
      <c r="M15" s="131">
        <v>0</v>
      </c>
      <c r="N15" s="131">
        <v>0</v>
      </c>
      <c r="O15" s="133">
        <v>0</v>
      </c>
      <c r="P15" s="137">
        <v>8</v>
      </c>
      <c r="Q15" s="139">
        <v>89.4</v>
      </c>
      <c r="R15" s="138" t="s">
        <v>134</v>
      </c>
    </row>
    <row r="16" spans="1:18" x14ac:dyDescent="0.2">
      <c r="A16" s="41" t="s">
        <v>40</v>
      </c>
      <c r="B16" s="129" t="s">
        <v>136</v>
      </c>
      <c r="C16" s="131">
        <v>3</v>
      </c>
      <c r="D16" s="131">
        <v>0</v>
      </c>
      <c r="E16" s="131">
        <v>0</v>
      </c>
      <c r="F16" s="131">
        <v>0</v>
      </c>
      <c r="G16" s="131">
        <v>0</v>
      </c>
      <c r="H16" s="131">
        <v>0</v>
      </c>
      <c r="I16" s="131">
        <v>0</v>
      </c>
      <c r="J16" s="131">
        <v>1</v>
      </c>
      <c r="K16" s="131">
        <v>2</v>
      </c>
      <c r="L16" s="131">
        <v>5</v>
      </c>
      <c r="M16" s="131">
        <v>0</v>
      </c>
      <c r="N16" s="131">
        <v>0</v>
      </c>
      <c r="O16" s="133">
        <v>0</v>
      </c>
      <c r="P16" s="137">
        <v>11</v>
      </c>
      <c r="Q16" s="139">
        <v>89.8</v>
      </c>
      <c r="R16" s="138">
        <v>92</v>
      </c>
    </row>
    <row r="17" spans="1:18" x14ac:dyDescent="0.2">
      <c r="A17" s="41" t="s">
        <v>40</v>
      </c>
      <c r="B17" s="129" t="s">
        <v>137</v>
      </c>
      <c r="C17" s="131">
        <v>3</v>
      </c>
      <c r="D17" s="131">
        <v>0</v>
      </c>
      <c r="E17" s="131">
        <v>1</v>
      </c>
      <c r="F17" s="131">
        <v>0</v>
      </c>
      <c r="G17" s="131">
        <v>0</v>
      </c>
      <c r="H17" s="131">
        <v>0</v>
      </c>
      <c r="I17" s="131">
        <v>0</v>
      </c>
      <c r="J17" s="131">
        <v>1</v>
      </c>
      <c r="K17" s="131">
        <v>1</v>
      </c>
      <c r="L17" s="131">
        <v>3</v>
      </c>
      <c r="M17" s="131">
        <v>0</v>
      </c>
      <c r="N17" s="131">
        <v>0</v>
      </c>
      <c r="O17" s="133">
        <v>0</v>
      </c>
      <c r="P17" s="137">
        <v>9</v>
      </c>
      <c r="Q17" s="139">
        <v>90.5</v>
      </c>
      <c r="R17" s="138" t="s">
        <v>134</v>
      </c>
    </row>
    <row r="18" spans="1:18" x14ac:dyDescent="0.2">
      <c r="A18" s="41" t="s">
        <v>40</v>
      </c>
      <c r="B18" s="129" t="s">
        <v>138</v>
      </c>
      <c r="C18" s="131">
        <v>4</v>
      </c>
      <c r="D18" s="131">
        <v>0</v>
      </c>
      <c r="E18" s="131">
        <v>3</v>
      </c>
      <c r="F18" s="131">
        <v>0</v>
      </c>
      <c r="G18" s="131">
        <v>0</v>
      </c>
      <c r="H18" s="131">
        <v>0</v>
      </c>
      <c r="I18" s="131">
        <v>0</v>
      </c>
      <c r="J18" s="131">
        <v>0</v>
      </c>
      <c r="K18" s="131">
        <v>1</v>
      </c>
      <c r="L18" s="131">
        <v>2</v>
      </c>
      <c r="M18" s="131">
        <v>0</v>
      </c>
      <c r="N18" s="131">
        <v>0</v>
      </c>
      <c r="O18" s="133">
        <v>0</v>
      </c>
      <c r="P18" s="137">
        <v>11</v>
      </c>
      <c r="Q18" s="139">
        <v>92.3</v>
      </c>
      <c r="R18" s="138">
        <v>98.1</v>
      </c>
    </row>
    <row r="19" spans="1:18" x14ac:dyDescent="0.2">
      <c r="A19" s="41" t="s">
        <v>40</v>
      </c>
      <c r="B19" s="129" t="s">
        <v>139</v>
      </c>
      <c r="C19" s="131">
        <v>9</v>
      </c>
      <c r="D19" s="131">
        <v>1</v>
      </c>
      <c r="E19" s="131">
        <v>2</v>
      </c>
      <c r="F19" s="131">
        <v>0</v>
      </c>
      <c r="G19" s="131">
        <v>0</v>
      </c>
      <c r="H19" s="131">
        <v>0</v>
      </c>
      <c r="I19" s="131">
        <v>0</v>
      </c>
      <c r="J19" s="131">
        <v>0</v>
      </c>
      <c r="K19" s="131">
        <v>3</v>
      </c>
      <c r="L19" s="131">
        <v>3</v>
      </c>
      <c r="M19" s="131">
        <v>0</v>
      </c>
      <c r="N19" s="131">
        <v>0</v>
      </c>
      <c r="O19" s="133">
        <v>0</v>
      </c>
      <c r="P19" s="137">
        <v>19</v>
      </c>
      <c r="Q19" s="139">
        <v>90.5</v>
      </c>
      <c r="R19" s="138">
        <v>95.4</v>
      </c>
    </row>
    <row r="20" spans="1:18" x14ac:dyDescent="0.2">
      <c r="A20" s="41" t="s">
        <v>41</v>
      </c>
      <c r="B20" s="129" t="s">
        <v>140</v>
      </c>
      <c r="C20" s="131">
        <v>31</v>
      </c>
      <c r="D20" s="131">
        <v>4</v>
      </c>
      <c r="E20" s="131">
        <v>4</v>
      </c>
      <c r="F20" s="131">
        <v>1</v>
      </c>
      <c r="G20" s="131">
        <v>0</v>
      </c>
      <c r="H20" s="131">
        <v>0</v>
      </c>
      <c r="I20" s="131">
        <v>0</v>
      </c>
      <c r="J20" s="131">
        <v>1</v>
      </c>
      <c r="K20" s="131">
        <v>2</v>
      </c>
      <c r="L20" s="131">
        <v>3</v>
      </c>
      <c r="M20" s="131">
        <v>0</v>
      </c>
      <c r="N20" s="131">
        <v>0</v>
      </c>
      <c r="O20" s="133">
        <v>0</v>
      </c>
      <c r="P20" s="137">
        <v>46</v>
      </c>
      <c r="Q20" s="139">
        <v>90.5</v>
      </c>
      <c r="R20" s="138">
        <v>94.4</v>
      </c>
    </row>
    <row r="21" spans="1:18" x14ac:dyDescent="0.2">
      <c r="A21" s="41" t="s">
        <v>41</v>
      </c>
      <c r="B21" s="129" t="s">
        <v>141</v>
      </c>
      <c r="C21" s="131">
        <v>53</v>
      </c>
      <c r="D21" s="131">
        <v>7</v>
      </c>
      <c r="E21" s="131">
        <v>6</v>
      </c>
      <c r="F21" s="131">
        <v>2</v>
      </c>
      <c r="G21" s="131">
        <v>0</v>
      </c>
      <c r="H21" s="131">
        <v>0</v>
      </c>
      <c r="I21" s="131">
        <v>0</v>
      </c>
      <c r="J21" s="131">
        <v>0</v>
      </c>
      <c r="K21" s="131">
        <v>3</v>
      </c>
      <c r="L21" s="131">
        <v>4</v>
      </c>
      <c r="M21" s="131">
        <v>0</v>
      </c>
      <c r="N21" s="131">
        <v>0</v>
      </c>
      <c r="O21" s="133">
        <v>0</v>
      </c>
      <c r="P21" s="137">
        <v>75</v>
      </c>
      <c r="Q21" s="139">
        <v>90.8</v>
      </c>
      <c r="R21" s="138">
        <v>94.4</v>
      </c>
    </row>
    <row r="22" spans="1:18" x14ac:dyDescent="0.2">
      <c r="A22" s="106" t="s">
        <v>41</v>
      </c>
      <c r="B22" s="129" t="s">
        <v>142</v>
      </c>
      <c r="C22" s="131">
        <v>62</v>
      </c>
      <c r="D22" s="131">
        <v>8</v>
      </c>
      <c r="E22" s="131">
        <v>6</v>
      </c>
      <c r="F22" s="131">
        <v>1</v>
      </c>
      <c r="G22" s="131">
        <v>0</v>
      </c>
      <c r="H22" s="131">
        <v>0</v>
      </c>
      <c r="I22" s="131">
        <v>0</v>
      </c>
      <c r="J22" s="131">
        <v>0</v>
      </c>
      <c r="K22" s="131">
        <v>2</v>
      </c>
      <c r="L22" s="131">
        <v>4</v>
      </c>
      <c r="M22" s="131">
        <v>0</v>
      </c>
      <c r="N22" s="131">
        <v>0</v>
      </c>
      <c r="O22" s="133">
        <v>0</v>
      </c>
      <c r="P22" s="137">
        <v>82</v>
      </c>
      <c r="Q22" s="139">
        <v>90.3</v>
      </c>
      <c r="R22" s="138">
        <v>93.9</v>
      </c>
    </row>
    <row r="23" spans="1:18" x14ac:dyDescent="0.2">
      <c r="A23" s="116" t="s">
        <v>42</v>
      </c>
      <c r="B23" s="125" t="s">
        <v>143</v>
      </c>
      <c r="C23" s="126">
        <v>65</v>
      </c>
      <c r="D23" s="126">
        <v>3</v>
      </c>
      <c r="E23" s="126">
        <v>4</v>
      </c>
      <c r="F23" s="126">
        <v>1</v>
      </c>
      <c r="G23" s="126">
        <v>0</v>
      </c>
      <c r="H23" s="126">
        <v>0</v>
      </c>
      <c r="I23" s="126">
        <v>0</v>
      </c>
      <c r="J23" s="126">
        <v>1</v>
      </c>
      <c r="K23" s="126">
        <v>1</v>
      </c>
      <c r="L23" s="126">
        <v>4</v>
      </c>
      <c r="M23" s="126">
        <v>0</v>
      </c>
      <c r="N23" s="126">
        <v>0</v>
      </c>
      <c r="O23" s="127">
        <v>0</v>
      </c>
      <c r="P23" s="128">
        <v>80</v>
      </c>
      <c r="Q23" s="139">
        <v>90</v>
      </c>
      <c r="R23" s="138">
        <v>93.9</v>
      </c>
    </row>
    <row r="24" spans="1:18" x14ac:dyDescent="0.2">
      <c r="A24" s="41" t="s">
        <v>41</v>
      </c>
      <c r="B24" s="129" t="s">
        <v>144</v>
      </c>
      <c r="C24" s="131">
        <v>58</v>
      </c>
      <c r="D24" s="131">
        <v>5</v>
      </c>
      <c r="E24" s="131">
        <v>3</v>
      </c>
      <c r="F24" s="131">
        <v>0</v>
      </c>
      <c r="G24" s="131">
        <v>0</v>
      </c>
      <c r="H24" s="131">
        <v>0</v>
      </c>
      <c r="I24" s="131">
        <v>0</v>
      </c>
      <c r="J24" s="131">
        <v>1</v>
      </c>
      <c r="K24" s="131">
        <v>2</v>
      </c>
      <c r="L24" s="131">
        <v>3</v>
      </c>
      <c r="M24" s="131">
        <v>0</v>
      </c>
      <c r="N24" s="131">
        <v>0</v>
      </c>
      <c r="O24" s="133">
        <v>0</v>
      </c>
      <c r="P24" s="137">
        <v>72</v>
      </c>
      <c r="Q24" s="139">
        <v>89.8</v>
      </c>
      <c r="R24" s="138">
        <v>93.9</v>
      </c>
    </row>
    <row r="25" spans="1:18" ht="13.5" thickBot="1" x14ac:dyDescent="0.25">
      <c r="A25" s="105" t="s">
        <v>41</v>
      </c>
      <c r="B25" s="154" t="s">
        <v>145</v>
      </c>
      <c r="C25" s="155">
        <v>62</v>
      </c>
      <c r="D25" s="155">
        <v>5</v>
      </c>
      <c r="E25" s="155">
        <v>4</v>
      </c>
      <c r="F25" s="155">
        <v>1</v>
      </c>
      <c r="G25" s="155">
        <v>0</v>
      </c>
      <c r="H25" s="155">
        <v>0</v>
      </c>
      <c r="I25" s="155">
        <v>1</v>
      </c>
      <c r="J25" s="155">
        <v>0</v>
      </c>
      <c r="K25" s="155">
        <v>3</v>
      </c>
      <c r="L25" s="155">
        <v>4</v>
      </c>
      <c r="M25" s="155">
        <v>0</v>
      </c>
      <c r="N25" s="155">
        <v>0</v>
      </c>
      <c r="O25" s="156">
        <v>0</v>
      </c>
      <c r="P25" s="157">
        <v>80</v>
      </c>
      <c r="Q25" s="140">
        <v>89.8</v>
      </c>
      <c r="R25" s="141">
        <v>93.9</v>
      </c>
    </row>
    <row r="26" spans="1:18" x14ac:dyDescent="0.2">
      <c r="A26" s="41" t="s">
        <v>41</v>
      </c>
      <c r="B26" s="114" t="s">
        <v>146</v>
      </c>
      <c r="C26" s="132">
        <v>58</v>
      </c>
      <c r="D26" s="132">
        <v>5</v>
      </c>
      <c r="E26" s="132">
        <v>3</v>
      </c>
      <c r="F26" s="132">
        <v>2</v>
      </c>
      <c r="G26" s="132">
        <v>0</v>
      </c>
      <c r="H26" s="132">
        <v>0</v>
      </c>
      <c r="I26" s="132">
        <v>0</v>
      </c>
      <c r="J26" s="132">
        <v>0</v>
      </c>
      <c r="K26" s="132">
        <v>3</v>
      </c>
      <c r="L26" s="132">
        <v>6</v>
      </c>
      <c r="M26" s="132">
        <v>0</v>
      </c>
      <c r="N26" s="132">
        <v>0</v>
      </c>
      <c r="O26" s="134">
        <v>0</v>
      </c>
      <c r="P26" s="146">
        <v>78</v>
      </c>
      <c r="Q26" s="142">
        <v>89.5</v>
      </c>
      <c r="R26" s="143">
        <v>93.3</v>
      </c>
    </row>
    <row r="27" spans="1:18" x14ac:dyDescent="0.2">
      <c r="A27" s="41" t="s">
        <v>41</v>
      </c>
      <c r="B27" s="129" t="s">
        <v>147</v>
      </c>
      <c r="C27" s="131">
        <v>62</v>
      </c>
      <c r="D27" s="131">
        <v>6</v>
      </c>
      <c r="E27" s="131">
        <v>4</v>
      </c>
      <c r="F27" s="131">
        <v>2</v>
      </c>
      <c r="G27" s="131">
        <v>0</v>
      </c>
      <c r="H27" s="131">
        <v>0</v>
      </c>
      <c r="I27" s="131">
        <v>0</v>
      </c>
      <c r="J27" s="131">
        <v>1</v>
      </c>
      <c r="K27" s="131">
        <v>4</v>
      </c>
      <c r="L27" s="131">
        <v>4</v>
      </c>
      <c r="M27" s="131">
        <v>0</v>
      </c>
      <c r="N27" s="131">
        <v>0</v>
      </c>
      <c r="O27" s="133">
        <v>0</v>
      </c>
      <c r="P27" s="137">
        <v>83</v>
      </c>
      <c r="Q27" s="139">
        <v>90</v>
      </c>
      <c r="R27" s="138">
        <v>93.7</v>
      </c>
    </row>
    <row r="28" spans="1:18" x14ac:dyDescent="0.2">
      <c r="A28" s="41" t="s">
        <v>41</v>
      </c>
      <c r="B28" s="129" t="s">
        <v>148</v>
      </c>
      <c r="C28" s="131">
        <v>75</v>
      </c>
      <c r="D28" s="131">
        <v>5</v>
      </c>
      <c r="E28" s="131">
        <v>4</v>
      </c>
      <c r="F28" s="131">
        <v>1</v>
      </c>
      <c r="G28" s="131">
        <v>0</v>
      </c>
      <c r="H28" s="131">
        <v>0</v>
      </c>
      <c r="I28" s="131">
        <v>0</v>
      </c>
      <c r="J28" s="131">
        <v>0</v>
      </c>
      <c r="K28" s="131">
        <v>4</v>
      </c>
      <c r="L28" s="131">
        <v>5</v>
      </c>
      <c r="M28" s="131">
        <v>0</v>
      </c>
      <c r="N28" s="131">
        <v>0</v>
      </c>
      <c r="O28" s="133">
        <v>0</v>
      </c>
      <c r="P28" s="137">
        <v>94</v>
      </c>
      <c r="Q28" s="139">
        <v>90.4</v>
      </c>
      <c r="R28" s="138">
        <v>93.9</v>
      </c>
    </row>
    <row r="29" spans="1:18" x14ac:dyDescent="0.2">
      <c r="A29" s="115" t="s">
        <v>43</v>
      </c>
      <c r="B29" s="125" t="s">
        <v>149</v>
      </c>
      <c r="C29" s="126">
        <v>84</v>
      </c>
      <c r="D29" s="126">
        <v>4</v>
      </c>
      <c r="E29" s="126">
        <v>5</v>
      </c>
      <c r="F29" s="126">
        <v>1</v>
      </c>
      <c r="G29" s="126">
        <v>0</v>
      </c>
      <c r="H29" s="126">
        <v>0</v>
      </c>
      <c r="I29" s="126">
        <v>0</v>
      </c>
      <c r="J29" s="126">
        <v>1</v>
      </c>
      <c r="K29" s="126">
        <v>3</v>
      </c>
      <c r="L29" s="126">
        <v>5</v>
      </c>
      <c r="M29" s="126">
        <v>0</v>
      </c>
      <c r="N29" s="126">
        <v>0</v>
      </c>
      <c r="O29" s="127">
        <v>0</v>
      </c>
      <c r="P29" s="128">
        <v>102</v>
      </c>
      <c r="Q29" s="139">
        <v>90</v>
      </c>
      <c r="R29" s="138">
        <v>93.9</v>
      </c>
    </row>
    <row r="30" spans="1:18" x14ac:dyDescent="0.2">
      <c r="A30" s="105" t="s">
        <v>41</v>
      </c>
      <c r="B30" s="129" t="s">
        <v>150</v>
      </c>
      <c r="C30" s="130">
        <v>84</v>
      </c>
      <c r="D30" s="130">
        <v>5</v>
      </c>
      <c r="E30" s="130">
        <v>2</v>
      </c>
      <c r="F30" s="130">
        <v>1</v>
      </c>
      <c r="G30" s="130">
        <v>0</v>
      </c>
      <c r="H30" s="130">
        <v>0</v>
      </c>
      <c r="I30" s="130">
        <v>0</v>
      </c>
      <c r="J30" s="130">
        <v>0</v>
      </c>
      <c r="K30" s="130">
        <v>3</v>
      </c>
      <c r="L30" s="130">
        <v>6</v>
      </c>
      <c r="M30" s="130">
        <v>0</v>
      </c>
      <c r="N30" s="130">
        <v>0</v>
      </c>
      <c r="O30" s="147">
        <v>0</v>
      </c>
      <c r="P30" s="153">
        <v>102</v>
      </c>
      <c r="Q30" s="139">
        <v>90.5</v>
      </c>
      <c r="R30" s="138">
        <v>94.6</v>
      </c>
    </row>
    <row r="31" spans="1:18" x14ac:dyDescent="0.2">
      <c r="A31" s="41" t="s">
        <v>41</v>
      </c>
      <c r="B31" s="129" t="s">
        <v>151</v>
      </c>
      <c r="C31" s="131">
        <v>83</v>
      </c>
      <c r="D31" s="131">
        <v>3</v>
      </c>
      <c r="E31" s="131">
        <v>1</v>
      </c>
      <c r="F31" s="131">
        <v>0</v>
      </c>
      <c r="G31" s="131">
        <v>0</v>
      </c>
      <c r="H31" s="131">
        <v>0</v>
      </c>
      <c r="I31" s="131">
        <v>0</v>
      </c>
      <c r="J31" s="131">
        <v>0</v>
      </c>
      <c r="K31" s="131">
        <v>2</v>
      </c>
      <c r="L31" s="131">
        <v>4</v>
      </c>
      <c r="M31" s="131">
        <v>0</v>
      </c>
      <c r="N31" s="131">
        <v>0</v>
      </c>
      <c r="O31" s="133">
        <v>0</v>
      </c>
      <c r="P31" s="137">
        <v>95</v>
      </c>
      <c r="Q31" s="139">
        <v>91.3</v>
      </c>
      <c r="R31" s="138">
        <v>95.2</v>
      </c>
    </row>
    <row r="32" spans="1:18" x14ac:dyDescent="0.2">
      <c r="A32" s="41" t="s">
        <v>40</v>
      </c>
      <c r="B32" s="129" t="s">
        <v>152</v>
      </c>
      <c r="C32" s="131">
        <v>55</v>
      </c>
      <c r="D32" s="131">
        <v>3</v>
      </c>
      <c r="E32" s="131">
        <v>1</v>
      </c>
      <c r="F32" s="131">
        <v>0</v>
      </c>
      <c r="G32" s="131">
        <v>0</v>
      </c>
      <c r="H32" s="131">
        <v>0</v>
      </c>
      <c r="I32" s="131">
        <v>0</v>
      </c>
      <c r="J32" s="131">
        <v>1</v>
      </c>
      <c r="K32" s="131">
        <v>3</v>
      </c>
      <c r="L32" s="131">
        <v>7</v>
      </c>
      <c r="M32" s="131">
        <v>0</v>
      </c>
      <c r="N32" s="131">
        <v>0</v>
      </c>
      <c r="O32" s="133">
        <v>0</v>
      </c>
      <c r="P32" s="137">
        <v>70</v>
      </c>
      <c r="Q32" s="139">
        <v>91</v>
      </c>
      <c r="R32" s="138">
        <v>94.7</v>
      </c>
    </row>
    <row r="33" spans="1:18" x14ac:dyDescent="0.2">
      <c r="A33" s="41" t="s">
        <v>40</v>
      </c>
      <c r="B33" s="129" t="s">
        <v>153</v>
      </c>
      <c r="C33" s="131">
        <v>31</v>
      </c>
      <c r="D33" s="131">
        <v>3</v>
      </c>
      <c r="E33" s="131">
        <v>0</v>
      </c>
      <c r="F33" s="131">
        <v>0</v>
      </c>
      <c r="G33" s="131">
        <v>0</v>
      </c>
      <c r="H33" s="131">
        <v>0</v>
      </c>
      <c r="I33" s="131">
        <v>0</v>
      </c>
      <c r="J33" s="131">
        <v>0</v>
      </c>
      <c r="K33" s="131">
        <v>3</v>
      </c>
      <c r="L33" s="131">
        <v>5</v>
      </c>
      <c r="M33" s="131">
        <v>0</v>
      </c>
      <c r="N33" s="131">
        <v>0</v>
      </c>
      <c r="O33" s="133">
        <v>0</v>
      </c>
      <c r="P33" s="137">
        <v>43</v>
      </c>
      <c r="Q33" s="139">
        <v>91.5</v>
      </c>
      <c r="R33" s="138">
        <v>95.2</v>
      </c>
    </row>
    <row r="34" spans="1:18" x14ac:dyDescent="0.2">
      <c r="A34" s="41" t="s">
        <v>40</v>
      </c>
      <c r="B34" s="129" t="s">
        <v>154</v>
      </c>
      <c r="C34" s="131">
        <v>27</v>
      </c>
      <c r="D34" s="131">
        <v>0</v>
      </c>
      <c r="E34" s="131">
        <v>1</v>
      </c>
      <c r="F34" s="131">
        <v>0</v>
      </c>
      <c r="G34" s="131">
        <v>0</v>
      </c>
      <c r="H34" s="131">
        <v>0</v>
      </c>
      <c r="I34" s="131">
        <v>0</v>
      </c>
      <c r="J34" s="131">
        <v>0</v>
      </c>
      <c r="K34" s="131">
        <v>3</v>
      </c>
      <c r="L34" s="131">
        <v>7</v>
      </c>
      <c r="M34" s="131">
        <v>0</v>
      </c>
      <c r="N34" s="131">
        <v>0</v>
      </c>
      <c r="O34" s="133">
        <v>0</v>
      </c>
      <c r="P34" s="137">
        <v>38</v>
      </c>
      <c r="Q34" s="139">
        <v>90.3</v>
      </c>
      <c r="R34" s="138">
        <v>93.7</v>
      </c>
    </row>
    <row r="35" spans="1:18" x14ac:dyDescent="0.2">
      <c r="A35" s="41" t="s">
        <v>40</v>
      </c>
      <c r="B35" s="129" t="s">
        <v>155</v>
      </c>
      <c r="C35" s="131">
        <v>23</v>
      </c>
      <c r="D35" s="131">
        <v>0</v>
      </c>
      <c r="E35" s="131">
        <v>0</v>
      </c>
      <c r="F35" s="131">
        <v>0</v>
      </c>
      <c r="G35" s="131">
        <v>0</v>
      </c>
      <c r="H35" s="131">
        <v>0</v>
      </c>
      <c r="I35" s="131">
        <v>0</v>
      </c>
      <c r="J35" s="131">
        <v>0</v>
      </c>
      <c r="K35" s="131">
        <v>3</v>
      </c>
      <c r="L35" s="131">
        <v>6</v>
      </c>
      <c r="M35" s="131">
        <v>0</v>
      </c>
      <c r="N35" s="131">
        <v>0</v>
      </c>
      <c r="O35" s="133">
        <v>0</v>
      </c>
      <c r="P35" s="137">
        <v>33</v>
      </c>
      <c r="Q35" s="139">
        <v>89.6</v>
      </c>
      <c r="R35" s="138">
        <v>93.5</v>
      </c>
    </row>
    <row r="36" spans="1:18" x14ac:dyDescent="0.2">
      <c r="A36" s="41" t="s">
        <v>40</v>
      </c>
      <c r="B36" s="129" t="s">
        <v>156</v>
      </c>
      <c r="C36" s="131">
        <v>10</v>
      </c>
      <c r="D36" s="131">
        <v>0</v>
      </c>
      <c r="E36" s="131">
        <v>1</v>
      </c>
      <c r="F36" s="131">
        <v>0</v>
      </c>
      <c r="G36" s="131">
        <v>0</v>
      </c>
      <c r="H36" s="131">
        <v>0</v>
      </c>
      <c r="I36" s="131">
        <v>0</v>
      </c>
      <c r="J36" s="131">
        <v>0</v>
      </c>
      <c r="K36" s="131">
        <v>3</v>
      </c>
      <c r="L36" s="131">
        <v>7</v>
      </c>
      <c r="M36" s="131">
        <v>0</v>
      </c>
      <c r="N36" s="131">
        <v>0</v>
      </c>
      <c r="O36" s="133">
        <v>0</v>
      </c>
      <c r="P36" s="137">
        <v>21</v>
      </c>
      <c r="Q36" s="139">
        <v>89.5</v>
      </c>
      <c r="R36" s="138">
        <v>93.2</v>
      </c>
    </row>
    <row r="37" spans="1:18" x14ac:dyDescent="0.2">
      <c r="A37" s="41" t="s">
        <v>40</v>
      </c>
      <c r="B37" s="129" t="s">
        <v>157</v>
      </c>
      <c r="C37" s="131">
        <v>7</v>
      </c>
      <c r="D37" s="131">
        <v>0</v>
      </c>
      <c r="E37" s="131">
        <v>0</v>
      </c>
      <c r="F37" s="131">
        <v>0</v>
      </c>
      <c r="G37" s="131">
        <v>0</v>
      </c>
      <c r="H37" s="131">
        <v>0</v>
      </c>
      <c r="I37" s="131">
        <v>0</v>
      </c>
      <c r="J37" s="131">
        <v>0</v>
      </c>
      <c r="K37" s="131">
        <v>2</v>
      </c>
      <c r="L37" s="131">
        <v>5</v>
      </c>
      <c r="M37" s="131">
        <v>0</v>
      </c>
      <c r="N37" s="131">
        <v>0</v>
      </c>
      <c r="O37" s="133">
        <v>0</v>
      </c>
      <c r="P37" s="137">
        <v>15</v>
      </c>
      <c r="Q37" s="139">
        <v>90.7</v>
      </c>
      <c r="R37" s="138">
        <v>94.1</v>
      </c>
    </row>
    <row r="38" spans="1:18" x14ac:dyDescent="0.2">
      <c r="A38" s="41"/>
      <c r="B38" s="104" t="s">
        <v>158</v>
      </c>
      <c r="C38" s="136">
        <v>954</v>
      </c>
      <c r="D38" s="136">
        <v>67</v>
      </c>
      <c r="E38" s="136">
        <v>55</v>
      </c>
      <c r="F38" s="136">
        <v>15</v>
      </c>
      <c r="G38" s="136">
        <v>2</v>
      </c>
      <c r="H38" s="136">
        <v>3</v>
      </c>
      <c r="I38" s="136">
        <v>5</v>
      </c>
      <c r="J38" s="136">
        <v>11</v>
      </c>
      <c r="K38" s="136">
        <v>58</v>
      </c>
      <c r="L38" s="136">
        <v>106</v>
      </c>
      <c r="M38" s="136">
        <v>0</v>
      </c>
      <c r="N38" s="136">
        <v>0</v>
      </c>
      <c r="O38" s="136">
        <v>0</v>
      </c>
      <c r="P38" s="137">
        <v>1276</v>
      </c>
      <c r="Q38" s="144">
        <v>90.3</v>
      </c>
      <c r="R38" s="145">
        <v>94.2</v>
      </c>
    </row>
    <row r="39" spans="1:18" x14ac:dyDescent="0.2">
      <c r="A39" s="41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9"/>
      <c r="R39" s="149"/>
    </row>
    <row r="40" spans="1:18" x14ac:dyDescent="0.2">
      <c r="A40" s="41"/>
      <c r="B40" s="135" t="s">
        <v>159</v>
      </c>
      <c r="C40" s="150"/>
      <c r="D40" s="150"/>
      <c r="E40" s="150"/>
      <c r="F40" s="150"/>
      <c r="G40" s="150"/>
      <c r="H40" s="150"/>
      <c r="I40" s="150"/>
      <c r="J40" s="149"/>
      <c r="K40" s="149"/>
      <c r="L40" s="149"/>
      <c r="M40" s="149"/>
      <c r="N40" s="149"/>
      <c r="O40" s="149"/>
      <c r="P40" s="149"/>
      <c r="Q40" s="148"/>
      <c r="R40" s="148"/>
    </row>
    <row r="41" spans="1:18" x14ac:dyDescent="0.2">
      <c r="A41" s="41"/>
      <c r="B41" s="151"/>
      <c r="C41" s="152"/>
      <c r="D41" s="152"/>
      <c r="E41" s="152"/>
      <c r="F41" s="152"/>
      <c r="G41" s="152"/>
      <c r="H41" s="152"/>
      <c r="I41" s="152"/>
      <c r="J41" s="151"/>
      <c r="K41" s="151"/>
      <c r="L41" s="151"/>
      <c r="M41" s="151"/>
      <c r="N41" s="151"/>
      <c r="O41" s="151"/>
      <c r="P41" s="151"/>
      <c r="Q41" s="152"/>
      <c r="R41" s="152"/>
    </row>
    <row r="42" spans="1:18" x14ac:dyDescent="0.2">
      <c r="A42" s="41"/>
      <c r="B42" s="129" t="s">
        <v>160</v>
      </c>
      <c r="C42" s="131">
        <v>115</v>
      </c>
      <c r="D42" s="131">
        <v>14</v>
      </c>
      <c r="E42" s="131">
        <v>12</v>
      </c>
      <c r="F42" s="131">
        <v>2</v>
      </c>
      <c r="G42" s="131">
        <v>0</v>
      </c>
      <c r="H42" s="131">
        <v>1</v>
      </c>
      <c r="I42" s="131">
        <v>1</v>
      </c>
      <c r="J42" s="131">
        <v>1</v>
      </c>
      <c r="K42" s="131">
        <v>5</v>
      </c>
      <c r="L42" s="131">
        <v>8</v>
      </c>
      <c r="M42" s="131">
        <v>0</v>
      </c>
      <c r="N42" s="131">
        <v>0</v>
      </c>
      <c r="O42" s="133">
        <v>0</v>
      </c>
      <c r="P42" s="137">
        <v>158</v>
      </c>
      <c r="Q42" s="139">
        <v>90.5</v>
      </c>
      <c r="R42" s="138">
        <v>94.2</v>
      </c>
    </row>
    <row r="43" spans="1:18" x14ac:dyDescent="0.2">
      <c r="A43" s="41"/>
      <c r="B43" s="129" t="s">
        <v>161</v>
      </c>
      <c r="C43" s="131">
        <v>167</v>
      </c>
      <c r="D43" s="131">
        <v>8</v>
      </c>
      <c r="E43" s="131">
        <v>3</v>
      </c>
      <c r="F43" s="131">
        <v>1</v>
      </c>
      <c r="G43" s="131">
        <v>1</v>
      </c>
      <c r="H43" s="131">
        <v>0</v>
      </c>
      <c r="I43" s="131">
        <v>0</v>
      </c>
      <c r="J43" s="131">
        <v>1</v>
      </c>
      <c r="K43" s="131">
        <v>6</v>
      </c>
      <c r="L43" s="131">
        <v>10</v>
      </c>
      <c r="M43" s="131">
        <v>0</v>
      </c>
      <c r="N43" s="131">
        <v>0</v>
      </c>
      <c r="O43" s="133">
        <v>0</v>
      </c>
      <c r="P43" s="137">
        <v>197</v>
      </c>
      <c r="Q43" s="139">
        <v>90.9</v>
      </c>
      <c r="R43" s="138">
        <v>94.8</v>
      </c>
    </row>
    <row r="44" spans="1:18" x14ac:dyDescent="0.2">
      <c r="A44" s="41"/>
      <c r="B44" s="129" t="s">
        <v>162</v>
      </c>
      <c r="C44" s="131">
        <v>672</v>
      </c>
      <c r="D44" s="131">
        <v>45</v>
      </c>
      <c r="E44" s="131">
        <v>40</v>
      </c>
      <c r="F44" s="131">
        <v>12</v>
      </c>
      <c r="G44" s="131">
        <v>1</v>
      </c>
      <c r="H44" s="131">
        <v>2</v>
      </c>
      <c r="I44" s="131">
        <v>4</v>
      </c>
      <c r="J44" s="131">
        <v>9</v>
      </c>
      <c r="K44" s="131">
        <v>48</v>
      </c>
      <c r="L44" s="131">
        <v>88</v>
      </c>
      <c r="M44" s="131">
        <v>0</v>
      </c>
      <c r="N44" s="131">
        <v>0</v>
      </c>
      <c r="O44" s="133">
        <v>0</v>
      </c>
      <c r="P44" s="137">
        <v>921</v>
      </c>
      <c r="Q44" s="103"/>
      <c r="R44" s="113"/>
    </row>
  </sheetData>
  <conditionalFormatting sqref="J5:L8 C14:P44 Q14:R43">
    <cfRule type="expression" dxfId="1" priority="1" stopIfTrue="1">
      <formula>ISERROR(C5)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4"/>
  <sheetViews>
    <sheetView zoomScaleNormal="100" workbookViewId="0"/>
  </sheetViews>
  <sheetFormatPr defaultRowHeight="12.75" x14ac:dyDescent="0.2"/>
  <cols>
    <col min="1" max="1" width="2.28515625" customWidth="1"/>
    <col min="2" max="1025" width="8.7109375" customWidth="1"/>
  </cols>
  <sheetData>
    <row r="1" spans="1:18" x14ac:dyDescent="0.2">
      <c r="A1" s="198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1:18" x14ac:dyDescent="0.2">
      <c r="A2" s="41"/>
      <c r="B2" s="112" t="s">
        <v>247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</row>
    <row r="3" spans="1:18" x14ac:dyDescent="0.2">
      <c r="A3" s="41"/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</row>
    <row r="4" spans="1:18" ht="15.75" x14ac:dyDescent="0.25">
      <c r="A4" s="41"/>
      <c r="B4" s="172"/>
      <c r="C4" s="173" t="s">
        <v>248</v>
      </c>
      <c r="D4" s="174"/>
      <c r="E4" s="174"/>
      <c r="F4" s="174"/>
      <c r="G4" s="174"/>
      <c r="H4" s="174"/>
      <c r="I4" s="174"/>
      <c r="J4" s="174"/>
      <c r="K4" s="174"/>
      <c r="L4" s="174"/>
      <c r="M4" s="175" t="s">
        <v>249</v>
      </c>
      <c r="N4" s="175"/>
      <c r="O4" s="175"/>
      <c r="P4" s="175" t="s">
        <v>120</v>
      </c>
      <c r="Q4" s="175"/>
      <c r="R4" s="176"/>
    </row>
    <row r="5" spans="1:18" x14ac:dyDescent="0.2">
      <c r="A5" s="41"/>
      <c r="B5" s="177" t="s">
        <v>117</v>
      </c>
      <c r="C5" s="178" t="s">
        <v>250</v>
      </c>
      <c r="D5" s="178"/>
      <c r="E5" s="178"/>
      <c r="F5" s="179"/>
      <c r="G5" s="122" t="s">
        <v>118</v>
      </c>
      <c r="H5" s="111"/>
      <c r="I5" s="111"/>
      <c r="J5" s="124">
        <v>1265</v>
      </c>
      <c r="K5" s="124"/>
      <c r="L5" s="121"/>
      <c r="M5" s="180"/>
      <c r="N5" s="181"/>
      <c r="O5" s="181"/>
      <c r="P5" s="180"/>
      <c r="Q5" s="181"/>
      <c r="R5" s="182"/>
    </row>
    <row r="6" spans="1:18" x14ac:dyDescent="0.2">
      <c r="A6" s="41"/>
      <c r="B6" s="177"/>
      <c r="C6" s="178"/>
      <c r="D6" s="178"/>
      <c r="E6" s="178"/>
      <c r="F6" s="179"/>
      <c r="G6" s="120" t="s">
        <v>119</v>
      </c>
      <c r="H6" s="110"/>
      <c r="I6" s="110"/>
      <c r="J6" s="119">
        <v>89.9</v>
      </c>
      <c r="K6" s="119"/>
      <c r="L6" s="109"/>
      <c r="M6" s="180"/>
      <c r="N6" s="181"/>
      <c r="O6" s="181"/>
      <c r="P6" s="180"/>
      <c r="Q6" s="181"/>
      <c r="R6" s="182"/>
    </row>
    <row r="7" spans="1:18" ht="15.75" x14ac:dyDescent="0.25">
      <c r="A7" s="41"/>
      <c r="B7" s="183" t="s">
        <v>121</v>
      </c>
      <c r="C7" s="184">
        <v>95435</v>
      </c>
      <c r="D7" s="185"/>
      <c r="E7" s="185"/>
      <c r="F7" s="185"/>
      <c r="G7" s="120" t="s">
        <v>122</v>
      </c>
      <c r="H7" s="110"/>
      <c r="I7" s="110"/>
      <c r="J7" s="119">
        <v>94</v>
      </c>
      <c r="K7" s="119"/>
      <c r="L7" s="109"/>
      <c r="M7" s="185"/>
      <c r="N7" s="185"/>
      <c r="O7" s="185"/>
      <c r="P7" s="186" t="s">
        <v>125</v>
      </c>
      <c r="Q7" s="186"/>
      <c r="R7" s="187"/>
    </row>
    <row r="8" spans="1:18" x14ac:dyDescent="0.2">
      <c r="A8" s="41"/>
      <c r="B8" s="183" t="s">
        <v>123</v>
      </c>
      <c r="C8" s="188" t="s">
        <v>251</v>
      </c>
      <c r="D8" s="188"/>
      <c r="E8" s="189"/>
      <c r="F8" s="185"/>
      <c r="G8" s="108" t="s">
        <v>124</v>
      </c>
      <c r="H8" s="118"/>
      <c r="I8" s="118"/>
      <c r="J8" s="107">
        <v>0.2147</v>
      </c>
      <c r="K8" s="107"/>
      <c r="L8" s="117"/>
      <c r="M8" s="185"/>
      <c r="N8" s="185"/>
      <c r="O8" s="185"/>
      <c r="P8" s="180"/>
      <c r="Q8" s="190" t="s">
        <v>255</v>
      </c>
      <c r="R8" s="182"/>
    </row>
    <row r="9" spans="1:18" x14ac:dyDescent="0.2">
      <c r="A9" s="41"/>
      <c r="B9" s="191" t="s">
        <v>126</v>
      </c>
      <c r="C9" s="192" t="s">
        <v>252</v>
      </c>
      <c r="D9" s="192"/>
      <c r="E9" s="193"/>
      <c r="F9" s="193"/>
      <c r="G9" s="193"/>
      <c r="H9" s="193"/>
      <c r="I9" s="193"/>
      <c r="J9" s="193"/>
      <c r="K9" s="194"/>
      <c r="L9" s="192"/>
      <c r="M9" s="192"/>
      <c r="N9" s="195"/>
      <c r="O9" s="195"/>
      <c r="P9" s="195"/>
      <c r="Q9" s="196"/>
      <c r="R9" s="197"/>
    </row>
    <row r="10" spans="1:18" x14ac:dyDescent="0.2">
      <c r="A10" s="41"/>
      <c r="B10" s="123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</row>
    <row r="11" spans="1:18" x14ac:dyDescent="0.2">
      <c r="A11" s="41"/>
      <c r="B11" s="158" t="s">
        <v>127</v>
      </c>
      <c r="C11" s="159" t="s">
        <v>128</v>
      </c>
      <c r="D11" s="160"/>
      <c r="E11" s="160"/>
      <c r="F11" s="160"/>
      <c r="G11" s="160"/>
      <c r="H11" s="160"/>
      <c r="I11" s="160"/>
      <c r="J11" s="161" t="s">
        <v>254</v>
      </c>
      <c r="K11" s="161"/>
      <c r="L11" s="161"/>
      <c r="M11" s="161"/>
      <c r="N11" s="161"/>
      <c r="O11" s="161"/>
      <c r="P11" s="161"/>
      <c r="Q11" s="161"/>
      <c r="R11" s="162"/>
    </row>
    <row r="12" spans="1:18" x14ac:dyDescent="0.2">
      <c r="A12" s="41"/>
      <c r="B12" s="163"/>
      <c r="C12" s="164">
        <v>1</v>
      </c>
      <c r="D12" s="164">
        <v>2</v>
      </c>
      <c r="E12" s="164">
        <v>3</v>
      </c>
      <c r="F12" s="164">
        <v>4</v>
      </c>
      <c r="G12" s="164">
        <v>5</v>
      </c>
      <c r="H12" s="164">
        <v>6</v>
      </c>
      <c r="I12" s="164">
        <v>7</v>
      </c>
      <c r="J12" s="164">
        <v>8</v>
      </c>
      <c r="K12" s="164">
        <v>9</v>
      </c>
      <c r="L12" s="164">
        <v>10</v>
      </c>
      <c r="M12" s="164">
        <v>11</v>
      </c>
      <c r="N12" s="164">
        <v>12</v>
      </c>
      <c r="O12" s="164">
        <v>13</v>
      </c>
      <c r="P12" s="165" t="s">
        <v>129</v>
      </c>
      <c r="Q12" s="166" t="s">
        <v>130</v>
      </c>
      <c r="R12" s="167"/>
    </row>
    <row r="13" spans="1:18" x14ac:dyDescent="0.2">
      <c r="A13" s="41"/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70"/>
      <c r="Q13" s="167" t="s">
        <v>131</v>
      </c>
      <c r="R13" s="171" t="s">
        <v>132</v>
      </c>
    </row>
    <row r="14" spans="1:18" x14ac:dyDescent="0.2">
      <c r="A14" s="41" t="s">
        <v>40</v>
      </c>
      <c r="B14" s="129" t="s">
        <v>133</v>
      </c>
      <c r="C14" s="131">
        <v>4</v>
      </c>
      <c r="D14" s="131">
        <v>0</v>
      </c>
      <c r="E14" s="131">
        <v>0</v>
      </c>
      <c r="F14" s="131">
        <v>0</v>
      </c>
      <c r="G14" s="131">
        <v>0</v>
      </c>
      <c r="H14" s="131">
        <v>0</v>
      </c>
      <c r="I14" s="131">
        <v>0</v>
      </c>
      <c r="J14" s="131">
        <v>0</v>
      </c>
      <c r="K14" s="131">
        <v>1</v>
      </c>
      <c r="L14" s="131">
        <v>2</v>
      </c>
      <c r="M14" s="131">
        <v>0</v>
      </c>
      <c r="N14" s="131">
        <v>0</v>
      </c>
      <c r="O14" s="133">
        <v>0</v>
      </c>
      <c r="P14" s="137">
        <v>8</v>
      </c>
      <c r="Q14" s="139">
        <v>90.4</v>
      </c>
      <c r="R14" s="138" t="s">
        <v>134</v>
      </c>
    </row>
    <row r="15" spans="1:18" x14ac:dyDescent="0.2">
      <c r="A15" s="41" t="s">
        <v>40</v>
      </c>
      <c r="B15" s="129" t="s">
        <v>135</v>
      </c>
      <c r="C15" s="131">
        <v>2</v>
      </c>
      <c r="D15" s="131">
        <v>0</v>
      </c>
      <c r="E15" s="131">
        <v>0</v>
      </c>
      <c r="F15" s="131">
        <v>0</v>
      </c>
      <c r="G15" s="131">
        <v>0</v>
      </c>
      <c r="H15" s="131">
        <v>0</v>
      </c>
      <c r="I15" s="131">
        <v>0</v>
      </c>
      <c r="J15" s="131">
        <v>0</v>
      </c>
      <c r="K15" s="131">
        <v>1</v>
      </c>
      <c r="L15" s="131">
        <v>3</v>
      </c>
      <c r="M15" s="131">
        <v>0</v>
      </c>
      <c r="N15" s="131">
        <v>0</v>
      </c>
      <c r="O15" s="133">
        <v>0</v>
      </c>
      <c r="P15" s="137">
        <v>6</v>
      </c>
      <c r="Q15" s="139">
        <v>89.8</v>
      </c>
      <c r="R15" s="138" t="s">
        <v>134</v>
      </c>
    </row>
    <row r="16" spans="1:18" x14ac:dyDescent="0.2">
      <c r="A16" s="41" t="s">
        <v>40</v>
      </c>
      <c r="B16" s="129" t="s">
        <v>136</v>
      </c>
      <c r="C16" s="131">
        <v>3</v>
      </c>
      <c r="D16" s="131">
        <v>0</v>
      </c>
      <c r="E16" s="131">
        <v>0</v>
      </c>
      <c r="F16" s="131">
        <v>0</v>
      </c>
      <c r="G16" s="131">
        <v>0</v>
      </c>
      <c r="H16" s="131">
        <v>0</v>
      </c>
      <c r="I16" s="131">
        <v>0</v>
      </c>
      <c r="J16" s="131">
        <v>0</v>
      </c>
      <c r="K16" s="131">
        <v>0</v>
      </c>
      <c r="L16" s="131">
        <v>1</v>
      </c>
      <c r="M16" s="131">
        <v>0</v>
      </c>
      <c r="N16" s="131">
        <v>0</v>
      </c>
      <c r="O16" s="133">
        <v>0</v>
      </c>
      <c r="P16" s="137">
        <v>5</v>
      </c>
      <c r="Q16" s="139">
        <v>90.2</v>
      </c>
      <c r="R16" s="138" t="s">
        <v>134</v>
      </c>
    </row>
    <row r="17" spans="1:18" x14ac:dyDescent="0.2">
      <c r="A17" s="41" t="s">
        <v>40</v>
      </c>
      <c r="B17" s="129" t="s">
        <v>137</v>
      </c>
      <c r="C17" s="131">
        <v>1</v>
      </c>
      <c r="D17" s="131">
        <v>0</v>
      </c>
      <c r="E17" s="131">
        <v>0</v>
      </c>
      <c r="F17" s="131">
        <v>0</v>
      </c>
      <c r="G17" s="131">
        <v>0</v>
      </c>
      <c r="H17" s="131">
        <v>0</v>
      </c>
      <c r="I17" s="131">
        <v>0</v>
      </c>
      <c r="J17" s="131">
        <v>0</v>
      </c>
      <c r="K17" s="131">
        <v>1</v>
      </c>
      <c r="L17" s="131">
        <v>3</v>
      </c>
      <c r="M17" s="131">
        <v>0</v>
      </c>
      <c r="N17" s="131">
        <v>0</v>
      </c>
      <c r="O17" s="133">
        <v>0</v>
      </c>
      <c r="P17" s="137">
        <v>6</v>
      </c>
      <c r="Q17" s="139">
        <v>90.8</v>
      </c>
      <c r="R17" s="138" t="s">
        <v>134</v>
      </c>
    </row>
    <row r="18" spans="1:18" x14ac:dyDescent="0.2">
      <c r="A18" s="41" t="s">
        <v>40</v>
      </c>
      <c r="B18" s="129" t="s">
        <v>138</v>
      </c>
      <c r="C18" s="131">
        <v>3</v>
      </c>
      <c r="D18" s="131">
        <v>0</v>
      </c>
      <c r="E18" s="131">
        <v>0</v>
      </c>
      <c r="F18" s="131">
        <v>0</v>
      </c>
      <c r="G18" s="131">
        <v>0</v>
      </c>
      <c r="H18" s="131">
        <v>0</v>
      </c>
      <c r="I18" s="131">
        <v>0</v>
      </c>
      <c r="J18" s="131">
        <v>0</v>
      </c>
      <c r="K18" s="131">
        <v>2</v>
      </c>
      <c r="L18" s="131">
        <v>3</v>
      </c>
      <c r="M18" s="131">
        <v>0</v>
      </c>
      <c r="N18" s="131">
        <v>0</v>
      </c>
      <c r="O18" s="133">
        <v>0</v>
      </c>
      <c r="P18" s="137">
        <v>10</v>
      </c>
      <c r="Q18" s="139">
        <v>91.1</v>
      </c>
      <c r="R18" s="138" t="s">
        <v>134</v>
      </c>
    </row>
    <row r="19" spans="1:18" x14ac:dyDescent="0.2">
      <c r="A19" s="41" t="s">
        <v>40</v>
      </c>
      <c r="B19" s="129" t="s">
        <v>139</v>
      </c>
      <c r="C19" s="131">
        <v>11</v>
      </c>
      <c r="D19" s="131">
        <v>1</v>
      </c>
      <c r="E19" s="131">
        <v>1</v>
      </c>
      <c r="F19" s="131">
        <v>0</v>
      </c>
      <c r="G19" s="131">
        <v>0</v>
      </c>
      <c r="H19" s="131">
        <v>0</v>
      </c>
      <c r="I19" s="131">
        <v>0</v>
      </c>
      <c r="J19" s="131">
        <v>1</v>
      </c>
      <c r="K19" s="131">
        <v>2</v>
      </c>
      <c r="L19" s="131">
        <v>3</v>
      </c>
      <c r="M19" s="131">
        <v>0</v>
      </c>
      <c r="N19" s="131">
        <v>0</v>
      </c>
      <c r="O19" s="133">
        <v>0</v>
      </c>
      <c r="P19" s="137">
        <v>20</v>
      </c>
      <c r="Q19" s="139">
        <v>90.2</v>
      </c>
      <c r="R19" s="138">
        <v>95.2</v>
      </c>
    </row>
    <row r="20" spans="1:18" x14ac:dyDescent="0.2">
      <c r="A20" s="41" t="s">
        <v>41</v>
      </c>
      <c r="B20" s="129" t="s">
        <v>140</v>
      </c>
      <c r="C20" s="131">
        <v>18</v>
      </c>
      <c r="D20" s="131">
        <v>1</v>
      </c>
      <c r="E20" s="131">
        <v>2</v>
      </c>
      <c r="F20" s="131">
        <v>1</v>
      </c>
      <c r="G20" s="131">
        <v>0</v>
      </c>
      <c r="H20" s="131">
        <v>0</v>
      </c>
      <c r="I20" s="131">
        <v>0</v>
      </c>
      <c r="J20" s="131">
        <v>1</v>
      </c>
      <c r="K20" s="131">
        <v>3</v>
      </c>
      <c r="L20" s="131">
        <v>4</v>
      </c>
      <c r="M20" s="131">
        <v>0</v>
      </c>
      <c r="N20" s="131">
        <v>0</v>
      </c>
      <c r="O20" s="133">
        <v>0</v>
      </c>
      <c r="P20" s="137">
        <v>30</v>
      </c>
      <c r="Q20" s="139">
        <v>90.2</v>
      </c>
      <c r="R20" s="138">
        <v>94.5</v>
      </c>
    </row>
    <row r="21" spans="1:18" x14ac:dyDescent="0.2">
      <c r="A21" s="41" t="s">
        <v>41</v>
      </c>
      <c r="B21" s="129" t="s">
        <v>141</v>
      </c>
      <c r="C21" s="131">
        <v>43</v>
      </c>
      <c r="D21" s="131">
        <v>4</v>
      </c>
      <c r="E21" s="131">
        <v>4</v>
      </c>
      <c r="F21" s="131">
        <v>2</v>
      </c>
      <c r="G21" s="131">
        <v>0</v>
      </c>
      <c r="H21" s="131">
        <v>0</v>
      </c>
      <c r="I21" s="131">
        <v>0</v>
      </c>
      <c r="J21" s="131">
        <v>1</v>
      </c>
      <c r="K21" s="131">
        <v>3</v>
      </c>
      <c r="L21" s="131">
        <v>4</v>
      </c>
      <c r="M21" s="131">
        <v>0</v>
      </c>
      <c r="N21" s="131">
        <v>0</v>
      </c>
      <c r="O21" s="133">
        <v>0</v>
      </c>
      <c r="P21" s="137">
        <v>62</v>
      </c>
      <c r="Q21" s="139">
        <v>90.2</v>
      </c>
      <c r="R21" s="138">
        <v>93.9</v>
      </c>
    </row>
    <row r="22" spans="1:18" x14ac:dyDescent="0.2">
      <c r="A22" s="106" t="s">
        <v>41</v>
      </c>
      <c r="B22" s="129" t="s">
        <v>142</v>
      </c>
      <c r="C22" s="131">
        <v>67</v>
      </c>
      <c r="D22" s="131">
        <v>4</v>
      </c>
      <c r="E22" s="131">
        <v>5</v>
      </c>
      <c r="F22" s="131">
        <v>1</v>
      </c>
      <c r="G22" s="131">
        <v>0</v>
      </c>
      <c r="H22" s="131">
        <v>0</v>
      </c>
      <c r="I22" s="131">
        <v>0</v>
      </c>
      <c r="J22" s="131">
        <v>0</v>
      </c>
      <c r="K22" s="131">
        <v>2</v>
      </c>
      <c r="L22" s="131">
        <v>4</v>
      </c>
      <c r="M22" s="131">
        <v>0</v>
      </c>
      <c r="N22" s="131">
        <v>0</v>
      </c>
      <c r="O22" s="133">
        <v>0</v>
      </c>
      <c r="P22" s="137">
        <v>84</v>
      </c>
      <c r="Q22" s="139">
        <v>90.1</v>
      </c>
      <c r="R22" s="138">
        <v>94.2</v>
      </c>
    </row>
    <row r="23" spans="1:18" x14ac:dyDescent="0.2">
      <c r="A23" s="116" t="s">
        <v>42</v>
      </c>
      <c r="B23" s="125" t="s">
        <v>143</v>
      </c>
      <c r="C23" s="126">
        <v>77</v>
      </c>
      <c r="D23" s="126">
        <v>6</v>
      </c>
      <c r="E23" s="126">
        <v>4</v>
      </c>
      <c r="F23" s="126">
        <v>1</v>
      </c>
      <c r="G23" s="126">
        <v>0</v>
      </c>
      <c r="H23" s="126">
        <v>0</v>
      </c>
      <c r="I23" s="126">
        <v>0</v>
      </c>
      <c r="J23" s="126">
        <v>0</v>
      </c>
      <c r="K23" s="126">
        <v>4</v>
      </c>
      <c r="L23" s="126">
        <v>6</v>
      </c>
      <c r="M23" s="126">
        <v>0</v>
      </c>
      <c r="N23" s="126">
        <v>0</v>
      </c>
      <c r="O23" s="127">
        <v>0</v>
      </c>
      <c r="P23" s="128">
        <v>99</v>
      </c>
      <c r="Q23" s="139">
        <v>88.9</v>
      </c>
      <c r="R23" s="138">
        <v>93.1</v>
      </c>
    </row>
    <row r="24" spans="1:18" x14ac:dyDescent="0.2">
      <c r="A24" s="41" t="s">
        <v>41</v>
      </c>
      <c r="B24" s="129" t="s">
        <v>144</v>
      </c>
      <c r="C24" s="131">
        <v>74</v>
      </c>
      <c r="D24" s="131">
        <v>7</v>
      </c>
      <c r="E24" s="131">
        <v>4</v>
      </c>
      <c r="F24" s="131">
        <v>1</v>
      </c>
      <c r="G24" s="131">
        <v>0</v>
      </c>
      <c r="H24" s="131">
        <v>0</v>
      </c>
      <c r="I24" s="131">
        <v>0</v>
      </c>
      <c r="J24" s="131">
        <v>1</v>
      </c>
      <c r="K24" s="131">
        <v>4</v>
      </c>
      <c r="L24" s="131">
        <v>6</v>
      </c>
      <c r="M24" s="131">
        <v>0</v>
      </c>
      <c r="N24" s="131">
        <v>0</v>
      </c>
      <c r="O24" s="133">
        <v>0</v>
      </c>
      <c r="P24" s="137">
        <v>97</v>
      </c>
      <c r="Q24" s="139">
        <v>89.8</v>
      </c>
      <c r="R24" s="138">
        <v>94</v>
      </c>
    </row>
    <row r="25" spans="1:18" ht="13.5" thickBot="1" x14ac:dyDescent="0.25">
      <c r="A25" s="105" t="s">
        <v>41</v>
      </c>
      <c r="B25" s="154" t="s">
        <v>145</v>
      </c>
      <c r="C25" s="155">
        <v>77</v>
      </c>
      <c r="D25" s="155">
        <v>6</v>
      </c>
      <c r="E25" s="155">
        <v>5</v>
      </c>
      <c r="F25" s="155">
        <v>1</v>
      </c>
      <c r="G25" s="155">
        <v>0</v>
      </c>
      <c r="H25" s="155">
        <v>0</v>
      </c>
      <c r="I25" s="155">
        <v>0</v>
      </c>
      <c r="J25" s="155">
        <v>1</v>
      </c>
      <c r="K25" s="155">
        <v>2</v>
      </c>
      <c r="L25" s="155">
        <v>5</v>
      </c>
      <c r="M25" s="155">
        <v>0</v>
      </c>
      <c r="N25" s="155">
        <v>0</v>
      </c>
      <c r="O25" s="156">
        <v>0</v>
      </c>
      <c r="P25" s="157">
        <v>98</v>
      </c>
      <c r="Q25" s="140">
        <v>89.6</v>
      </c>
      <c r="R25" s="141">
        <v>94</v>
      </c>
    </row>
    <row r="26" spans="1:18" x14ac:dyDescent="0.2">
      <c r="A26" s="41" t="s">
        <v>41</v>
      </c>
      <c r="B26" s="114" t="s">
        <v>146</v>
      </c>
      <c r="C26" s="132">
        <v>74</v>
      </c>
      <c r="D26" s="132">
        <v>5</v>
      </c>
      <c r="E26" s="132">
        <v>4</v>
      </c>
      <c r="F26" s="132">
        <v>1</v>
      </c>
      <c r="G26" s="132">
        <v>0</v>
      </c>
      <c r="H26" s="132">
        <v>0</v>
      </c>
      <c r="I26" s="132">
        <v>0</v>
      </c>
      <c r="J26" s="132">
        <v>1</v>
      </c>
      <c r="K26" s="132">
        <v>2</v>
      </c>
      <c r="L26" s="132">
        <v>5</v>
      </c>
      <c r="M26" s="132">
        <v>0</v>
      </c>
      <c r="N26" s="132">
        <v>0</v>
      </c>
      <c r="O26" s="134">
        <v>0</v>
      </c>
      <c r="P26" s="146">
        <v>91</v>
      </c>
      <c r="Q26" s="142">
        <v>89.7</v>
      </c>
      <c r="R26" s="143">
        <v>94.1</v>
      </c>
    </row>
    <row r="27" spans="1:18" x14ac:dyDescent="0.2">
      <c r="A27" s="41" t="s">
        <v>41</v>
      </c>
      <c r="B27" s="129" t="s">
        <v>147</v>
      </c>
      <c r="C27" s="131">
        <v>62</v>
      </c>
      <c r="D27" s="131">
        <v>8</v>
      </c>
      <c r="E27" s="131">
        <v>4</v>
      </c>
      <c r="F27" s="131">
        <v>1</v>
      </c>
      <c r="G27" s="131">
        <v>0</v>
      </c>
      <c r="H27" s="131">
        <v>0</v>
      </c>
      <c r="I27" s="131">
        <v>0</v>
      </c>
      <c r="J27" s="131">
        <v>1</v>
      </c>
      <c r="K27" s="131">
        <v>3</v>
      </c>
      <c r="L27" s="131">
        <v>4</v>
      </c>
      <c r="M27" s="131">
        <v>0</v>
      </c>
      <c r="N27" s="131">
        <v>0</v>
      </c>
      <c r="O27" s="133">
        <v>0</v>
      </c>
      <c r="P27" s="137">
        <v>83</v>
      </c>
      <c r="Q27" s="139">
        <v>89.5</v>
      </c>
      <c r="R27" s="138">
        <v>94.3</v>
      </c>
    </row>
    <row r="28" spans="1:18" x14ac:dyDescent="0.2">
      <c r="A28" s="41" t="s">
        <v>41</v>
      </c>
      <c r="B28" s="129" t="s">
        <v>148</v>
      </c>
      <c r="C28" s="131">
        <v>67</v>
      </c>
      <c r="D28" s="131">
        <v>6</v>
      </c>
      <c r="E28" s="131">
        <v>5</v>
      </c>
      <c r="F28" s="131">
        <v>1</v>
      </c>
      <c r="G28" s="131">
        <v>0</v>
      </c>
      <c r="H28" s="131">
        <v>0</v>
      </c>
      <c r="I28" s="131">
        <v>0</v>
      </c>
      <c r="J28" s="131">
        <v>1</v>
      </c>
      <c r="K28" s="131">
        <v>5</v>
      </c>
      <c r="L28" s="131">
        <v>5</v>
      </c>
      <c r="M28" s="131">
        <v>0</v>
      </c>
      <c r="N28" s="131">
        <v>0</v>
      </c>
      <c r="O28" s="133">
        <v>0</v>
      </c>
      <c r="P28" s="137">
        <v>90</v>
      </c>
      <c r="Q28" s="139">
        <v>90.1</v>
      </c>
      <c r="R28" s="138">
        <v>94</v>
      </c>
    </row>
    <row r="29" spans="1:18" x14ac:dyDescent="0.2">
      <c r="A29" s="115" t="s">
        <v>43</v>
      </c>
      <c r="B29" s="125" t="s">
        <v>149</v>
      </c>
      <c r="C29" s="126">
        <v>79</v>
      </c>
      <c r="D29" s="126">
        <v>6</v>
      </c>
      <c r="E29" s="126">
        <v>5</v>
      </c>
      <c r="F29" s="126">
        <v>2</v>
      </c>
      <c r="G29" s="126">
        <v>0</v>
      </c>
      <c r="H29" s="126">
        <v>0</v>
      </c>
      <c r="I29" s="126">
        <v>0</v>
      </c>
      <c r="J29" s="126">
        <v>1</v>
      </c>
      <c r="K29" s="126">
        <v>2</v>
      </c>
      <c r="L29" s="126">
        <v>6</v>
      </c>
      <c r="M29" s="126">
        <v>0</v>
      </c>
      <c r="N29" s="126">
        <v>0</v>
      </c>
      <c r="O29" s="127">
        <v>0</v>
      </c>
      <c r="P29" s="128">
        <v>103</v>
      </c>
      <c r="Q29" s="139">
        <v>89.6</v>
      </c>
      <c r="R29" s="138">
        <v>93.8</v>
      </c>
    </row>
    <row r="30" spans="1:18" x14ac:dyDescent="0.2">
      <c r="A30" s="105" t="s">
        <v>41</v>
      </c>
      <c r="B30" s="129" t="s">
        <v>150</v>
      </c>
      <c r="C30" s="130">
        <v>79</v>
      </c>
      <c r="D30" s="130">
        <v>6</v>
      </c>
      <c r="E30" s="130">
        <v>3</v>
      </c>
      <c r="F30" s="130">
        <v>1</v>
      </c>
      <c r="G30" s="130">
        <v>0</v>
      </c>
      <c r="H30" s="130">
        <v>1</v>
      </c>
      <c r="I30" s="130">
        <v>1</v>
      </c>
      <c r="J30" s="130">
        <v>1</v>
      </c>
      <c r="K30" s="130">
        <v>4</v>
      </c>
      <c r="L30" s="130">
        <v>8</v>
      </c>
      <c r="M30" s="130">
        <v>0</v>
      </c>
      <c r="N30" s="130">
        <v>0</v>
      </c>
      <c r="O30" s="147">
        <v>0</v>
      </c>
      <c r="P30" s="153">
        <v>102</v>
      </c>
      <c r="Q30" s="139">
        <v>89.9</v>
      </c>
      <c r="R30" s="138">
        <v>93.9</v>
      </c>
    </row>
    <row r="31" spans="1:18" x14ac:dyDescent="0.2">
      <c r="A31" s="41" t="s">
        <v>41</v>
      </c>
      <c r="B31" s="129" t="s">
        <v>151</v>
      </c>
      <c r="C31" s="131">
        <v>66</v>
      </c>
      <c r="D31" s="131">
        <v>3</v>
      </c>
      <c r="E31" s="131">
        <v>1</v>
      </c>
      <c r="F31" s="131">
        <v>0</v>
      </c>
      <c r="G31" s="131">
        <v>0</v>
      </c>
      <c r="H31" s="131">
        <v>0</v>
      </c>
      <c r="I31" s="131">
        <v>0</v>
      </c>
      <c r="J31" s="131">
        <v>0</v>
      </c>
      <c r="K31" s="131">
        <v>6</v>
      </c>
      <c r="L31" s="131">
        <v>8</v>
      </c>
      <c r="M31" s="131">
        <v>0</v>
      </c>
      <c r="N31" s="131">
        <v>0</v>
      </c>
      <c r="O31" s="133">
        <v>0</v>
      </c>
      <c r="P31" s="137">
        <v>85</v>
      </c>
      <c r="Q31" s="139">
        <v>90.1</v>
      </c>
      <c r="R31" s="138">
        <v>94.3</v>
      </c>
    </row>
    <row r="32" spans="1:18" x14ac:dyDescent="0.2">
      <c r="A32" s="41" t="s">
        <v>40</v>
      </c>
      <c r="B32" s="129" t="s">
        <v>152</v>
      </c>
      <c r="C32" s="131">
        <v>43</v>
      </c>
      <c r="D32" s="131">
        <v>3</v>
      </c>
      <c r="E32" s="131">
        <v>2</v>
      </c>
      <c r="F32" s="131">
        <v>0</v>
      </c>
      <c r="G32" s="131">
        <v>0</v>
      </c>
      <c r="H32" s="131">
        <v>0</v>
      </c>
      <c r="I32" s="131">
        <v>0</v>
      </c>
      <c r="J32" s="131">
        <v>1</v>
      </c>
      <c r="K32" s="131">
        <v>4</v>
      </c>
      <c r="L32" s="131">
        <v>8</v>
      </c>
      <c r="M32" s="131">
        <v>0</v>
      </c>
      <c r="N32" s="131">
        <v>0</v>
      </c>
      <c r="O32" s="133">
        <v>0</v>
      </c>
      <c r="P32" s="137">
        <v>61</v>
      </c>
      <c r="Q32" s="139">
        <v>90.1</v>
      </c>
      <c r="R32" s="138">
        <v>94.6</v>
      </c>
    </row>
    <row r="33" spans="1:18" x14ac:dyDescent="0.2">
      <c r="A33" s="41" t="s">
        <v>40</v>
      </c>
      <c r="B33" s="129" t="s">
        <v>153</v>
      </c>
      <c r="C33" s="131">
        <v>31</v>
      </c>
      <c r="D33" s="131">
        <v>1</v>
      </c>
      <c r="E33" s="131">
        <v>1</v>
      </c>
      <c r="F33" s="131">
        <v>0</v>
      </c>
      <c r="G33" s="131">
        <v>0</v>
      </c>
      <c r="H33" s="131">
        <v>0</v>
      </c>
      <c r="I33" s="131">
        <v>0</v>
      </c>
      <c r="J33" s="131">
        <v>0</v>
      </c>
      <c r="K33" s="131">
        <v>3</v>
      </c>
      <c r="L33" s="131">
        <v>5</v>
      </c>
      <c r="M33" s="131">
        <v>0</v>
      </c>
      <c r="N33" s="131">
        <v>0</v>
      </c>
      <c r="O33" s="133">
        <v>0</v>
      </c>
      <c r="P33" s="137">
        <v>42</v>
      </c>
      <c r="Q33" s="139">
        <v>90.7</v>
      </c>
      <c r="R33" s="138">
        <v>94.3</v>
      </c>
    </row>
    <row r="34" spans="1:18" x14ac:dyDescent="0.2">
      <c r="A34" s="41" t="s">
        <v>40</v>
      </c>
      <c r="B34" s="129" t="s">
        <v>154</v>
      </c>
      <c r="C34" s="131">
        <v>17</v>
      </c>
      <c r="D34" s="131">
        <v>1</v>
      </c>
      <c r="E34" s="131">
        <v>1</v>
      </c>
      <c r="F34" s="131">
        <v>0</v>
      </c>
      <c r="G34" s="131">
        <v>0</v>
      </c>
      <c r="H34" s="131">
        <v>0</v>
      </c>
      <c r="I34" s="131">
        <v>0</v>
      </c>
      <c r="J34" s="131">
        <v>0</v>
      </c>
      <c r="K34" s="131">
        <v>3</v>
      </c>
      <c r="L34" s="131">
        <v>6</v>
      </c>
      <c r="M34" s="131">
        <v>0</v>
      </c>
      <c r="N34" s="131">
        <v>0</v>
      </c>
      <c r="O34" s="133">
        <v>0</v>
      </c>
      <c r="P34" s="137">
        <v>29</v>
      </c>
      <c r="Q34" s="139">
        <v>89.1</v>
      </c>
      <c r="R34" s="138">
        <v>92.9</v>
      </c>
    </row>
    <row r="35" spans="1:18" x14ac:dyDescent="0.2">
      <c r="A35" s="41" t="s">
        <v>40</v>
      </c>
      <c r="B35" s="129" t="s">
        <v>155</v>
      </c>
      <c r="C35" s="131">
        <v>15</v>
      </c>
      <c r="D35" s="131">
        <v>1</v>
      </c>
      <c r="E35" s="131">
        <v>0</v>
      </c>
      <c r="F35" s="131">
        <v>0</v>
      </c>
      <c r="G35" s="131">
        <v>0</v>
      </c>
      <c r="H35" s="131">
        <v>0</v>
      </c>
      <c r="I35" s="131">
        <v>0</v>
      </c>
      <c r="J35" s="131">
        <v>0</v>
      </c>
      <c r="K35" s="131">
        <v>3</v>
      </c>
      <c r="L35" s="131">
        <v>6</v>
      </c>
      <c r="M35" s="131">
        <v>0</v>
      </c>
      <c r="N35" s="131">
        <v>0</v>
      </c>
      <c r="O35" s="133">
        <v>0</v>
      </c>
      <c r="P35" s="137">
        <v>25</v>
      </c>
      <c r="Q35" s="139">
        <v>90.2</v>
      </c>
      <c r="R35" s="138">
        <v>93.8</v>
      </c>
    </row>
    <row r="36" spans="1:18" x14ac:dyDescent="0.2">
      <c r="A36" s="41" t="s">
        <v>40</v>
      </c>
      <c r="B36" s="129" t="s">
        <v>156</v>
      </c>
      <c r="C36" s="131">
        <v>8</v>
      </c>
      <c r="D36" s="131">
        <v>0</v>
      </c>
      <c r="E36" s="131">
        <v>1</v>
      </c>
      <c r="F36" s="131">
        <v>0</v>
      </c>
      <c r="G36" s="131">
        <v>0</v>
      </c>
      <c r="H36" s="131">
        <v>0</v>
      </c>
      <c r="I36" s="131">
        <v>0</v>
      </c>
      <c r="J36" s="131">
        <v>0</v>
      </c>
      <c r="K36" s="131">
        <v>3</v>
      </c>
      <c r="L36" s="131">
        <v>6</v>
      </c>
      <c r="M36" s="131">
        <v>0</v>
      </c>
      <c r="N36" s="131">
        <v>0</v>
      </c>
      <c r="O36" s="133">
        <v>0</v>
      </c>
      <c r="P36" s="137">
        <v>18</v>
      </c>
      <c r="Q36" s="139">
        <v>90.7</v>
      </c>
      <c r="R36" s="138">
        <v>93.9</v>
      </c>
    </row>
    <row r="37" spans="1:18" x14ac:dyDescent="0.2">
      <c r="A37" s="41" t="s">
        <v>40</v>
      </c>
      <c r="B37" s="129" t="s">
        <v>157</v>
      </c>
      <c r="C37" s="131">
        <v>5</v>
      </c>
      <c r="D37" s="131">
        <v>0</v>
      </c>
      <c r="E37" s="131">
        <v>0</v>
      </c>
      <c r="F37" s="131">
        <v>0</v>
      </c>
      <c r="G37" s="131">
        <v>0</v>
      </c>
      <c r="H37" s="131">
        <v>0</v>
      </c>
      <c r="I37" s="131">
        <v>0</v>
      </c>
      <c r="J37" s="131">
        <v>0</v>
      </c>
      <c r="K37" s="131">
        <v>1</v>
      </c>
      <c r="L37" s="131">
        <v>5</v>
      </c>
      <c r="M37" s="131">
        <v>0</v>
      </c>
      <c r="N37" s="131">
        <v>0</v>
      </c>
      <c r="O37" s="133">
        <v>0</v>
      </c>
      <c r="P37" s="137">
        <v>12</v>
      </c>
      <c r="Q37" s="139">
        <v>91.2</v>
      </c>
      <c r="R37" s="138">
        <v>95.5</v>
      </c>
    </row>
    <row r="38" spans="1:18" x14ac:dyDescent="0.2">
      <c r="A38" s="41"/>
      <c r="B38" s="104" t="s">
        <v>158</v>
      </c>
      <c r="C38" s="136">
        <v>925</v>
      </c>
      <c r="D38" s="136">
        <v>69</v>
      </c>
      <c r="E38" s="136">
        <v>53</v>
      </c>
      <c r="F38" s="136">
        <v>15</v>
      </c>
      <c r="G38" s="136">
        <v>2</v>
      </c>
      <c r="H38" s="136">
        <v>3</v>
      </c>
      <c r="I38" s="136">
        <v>4</v>
      </c>
      <c r="J38" s="136">
        <v>13</v>
      </c>
      <c r="K38" s="136">
        <v>63</v>
      </c>
      <c r="L38" s="136">
        <v>118</v>
      </c>
      <c r="M38" s="136">
        <v>1</v>
      </c>
      <c r="N38" s="136">
        <v>0</v>
      </c>
      <c r="O38" s="136">
        <v>0</v>
      </c>
      <c r="P38" s="137">
        <v>1265</v>
      </c>
      <c r="Q38" s="144">
        <v>89.9</v>
      </c>
      <c r="R38" s="145">
        <v>94</v>
      </c>
    </row>
    <row r="39" spans="1:18" x14ac:dyDescent="0.2">
      <c r="A39" s="41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9"/>
      <c r="R39" s="149"/>
    </row>
    <row r="40" spans="1:18" x14ac:dyDescent="0.2">
      <c r="A40" s="41"/>
      <c r="B40" s="135" t="s">
        <v>159</v>
      </c>
      <c r="C40" s="150"/>
      <c r="D40" s="150"/>
      <c r="E40" s="150"/>
      <c r="F40" s="150"/>
      <c r="G40" s="150"/>
      <c r="H40" s="150"/>
      <c r="I40" s="150"/>
      <c r="J40" s="149"/>
      <c r="K40" s="149"/>
      <c r="L40" s="149"/>
      <c r="M40" s="149"/>
      <c r="N40" s="149"/>
      <c r="O40" s="149"/>
      <c r="P40" s="149"/>
      <c r="Q40" s="148"/>
      <c r="R40" s="148"/>
    </row>
    <row r="41" spans="1:18" x14ac:dyDescent="0.2">
      <c r="A41" s="41"/>
      <c r="B41" s="151"/>
      <c r="C41" s="152"/>
      <c r="D41" s="152"/>
      <c r="E41" s="152"/>
      <c r="F41" s="152"/>
      <c r="G41" s="152"/>
      <c r="H41" s="152"/>
      <c r="I41" s="152"/>
      <c r="J41" s="151"/>
      <c r="K41" s="151"/>
      <c r="L41" s="151"/>
      <c r="M41" s="151"/>
      <c r="N41" s="151"/>
      <c r="O41" s="151"/>
      <c r="P41" s="151"/>
      <c r="Q41" s="152"/>
      <c r="R41" s="152"/>
    </row>
    <row r="42" spans="1:18" x14ac:dyDescent="0.2">
      <c r="A42" s="41"/>
      <c r="B42" s="129" t="s">
        <v>160</v>
      </c>
      <c r="C42" s="131">
        <v>109</v>
      </c>
      <c r="D42" s="131">
        <v>8</v>
      </c>
      <c r="E42" s="131">
        <v>9</v>
      </c>
      <c r="F42" s="131">
        <v>3</v>
      </c>
      <c r="G42" s="131">
        <v>0</v>
      </c>
      <c r="H42" s="131">
        <v>1</v>
      </c>
      <c r="I42" s="131">
        <v>0</v>
      </c>
      <c r="J42" s="131">
        <v>2</v>
      </c>
      <c r="K42" s="131">
        <v>6</v>
      </c>
      <c r="L42" s="131">
        <v>9</v>
      </c>
      <c r="M42" s="131">
        <v>0</v>
      </c>
      <c r="N42" s="131">
        <v>0</v>
      </c>
      <c r="O42" s="133">
        <v>0</v>
      </c>
      <c r="P42" s="137">
        <v>146</v>
      </c>
      <c r="Q42" s="139">
        <v>90.1</v>
      </c>
      <c r="R42" s="138">
        <v>94.1</v>
      </c>
    </row>
    <row r="43" spans="1:18" x14ac:dyDescent="0.2">
      <c r="A43" s="41"/>
      <c r="B43" s="129" t="s">
        <v>161</v>
      </c>
      <c r="C43" s="131">
        <v>144</v>
      </c>
      <c r="D43" s="131">
        <v>9</v>
      </c>
      <c r="E43" s="131">
        <v>5</v>
      </c>
      <c r="F43" s="131">
        <v>1</v>
      </c>
      <c r="G43" s="131">
        <v>0</v>
      </c>
      <c r="H43" s="131">
        <v>1</v>
      </c>
      <c r="I43" s="131">
        <v>1</v>
      </c>
      <c r="J43" s="131">
        <v>2</v>
      </c>
      <c r="K43" s="131">
        <v>9</v>
      </c>
      <c r="L43" s="131">
        <v>16</v>
      </c>
      <c r="M43" s="131">
        <v>0</v>
      </c>
      <c r="N43" s="131">
        <v>0</v>
      </c>
      <c r="O43" s="133">
        <v>0</v>
      </c>
      <c r="P43" s="137">
        <v>187</v>
      </c>
      <c r="Q43" s="139">
        <v>90</v>
      </c>
      <c r="R43" s="138">
        <v>94.2</v>
      </c>
    </row>
    <row r="44" spans="1:18" x14ac:dyDescent="0.2">
      <c r="A44" s="41"/>
      <c r="B44" s="129" t="s">
        <v>162</v>
      </c>
      <c r="C44" s="131">
        <v>671</v>
      </c>
      <c r="D44" s="131">
        <v>52</v>
      </c>
      <c r="E44" s="131">
        <v>39</v>
      </c>
      <c r="F44" s="131">
        <v>11</v>
      </c>
      <c r="G44" s="131">
        <v>2</v>
      </c>
      <c r="H44" s="131">
        <v>2</v>
      </c>
      <c r="I44" s="131">
        <v>3</v>
      </c>
      <c r="J44" s="131">
        <v>10</v>
      </c>
      <c r="K44" s="131">
        <v>48</v>
      </c>
      <c r="L44" s="131">
        <v>93</v>
      </c>
      <c r="M44" s="131">
        <v>0</v>
      </c>
      <c r="N44" s="131">
        <v>0</v>
      </c>
      <c r="O44" s="133">
        <v>0</v>
      </c>
      <c r="P44" s="137">
        <v>933</v>
      </c>
      <c r="Q44" s="103"/>
      <c r="R44" s="113"/>
    </row>
  </sheetData>
  <conditionalFormatting sqref="J5:L8 C14:P44 Q14:R43">
    <cfRule type="expression" dxfId="0" priority="1" stopIfTrue="1">
      <formula>ISERROR(C5)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0"/>
  <sheetViews>
    <sheetView zoomScaleNormal="100" workbookViewId="0"/>
  </sheetViews>
  <sheetFormatPr defaultRowHeight="12.75" x14ac:dyDescent="0.2"/>
  <cols>
    <col min="1" max="1" width="11.28515625" style="42" customWidth="1"/>
    <col min="2" max="2" width="14" customWidth="1"/>
    <col min="3" max="1025" width="8.7109375" customWidth="1"/>
  </cols>
  <sheetData>
    <row r="1" spans="1:4" x14ac:dyDescent="0.2">
      <c r="A1" s="43" t="s">
        <v>163</v>
      </c>
    </row>
    <row r="3" spans="1:4" x14ac:dyDescent="0.2">
      <c r="A3" s="42" t="s">
        <v>164</v>
      </c>
    </row>
    <row r="4" spans="1:4" x14ac:dyDescent="0.2">
      <c r="A4" s="44">
        <v>80</v>
      </c>
    </row>
    <row r="5" spans="1:4" x14ac:dyDescent="0.2">
      <c r="A5" s="42" t="s">
        <v>165</v>
      </c>
    </row>
    <row r="6" spans="1:4" x14ac:dyDescent="0.2">
      <c r="A6" s="45">
        <f>A4*1000/3600</f>
        <v>22.222222222222221</v>
      </c>
    </row>
    <row r="8" spans="1:4" x14ac:dyDescent="0.2">
      <c r="A8" s="42" t="s">
        <v>166</v>
      </c>
      <c r="B8" s="1" t="s">
        <v>77</v>
      </c>
    </row>
    <row r="9" spans="1:4" x14ac:dyDescent="0.2">
      <c r="A9" s="42">
        <v>3</v>
      </c>
      <c r="B9" s="42">
        <f t="shared" ref="B9:B17" si="0">A9*1000/$A$6</f>
        <v>135</v>
      </c>
      <c r="D9" s="46"/>
    </row>
    <row r="10" spans="1:4" x14ac:dyDescent="0.2">
      <c r="A10" s="42">
        <v>5</v>
      </c>
      <c r="B10" s="42">
        <f t="shared" si="0"/>
        <v>225</v>
      </c>
      <c r="D10" s="46"/>
    </row>
    <row r="11" spans="1:4" x14ac:dyDescent="0.2">
      <c r="A11" s="42">
        <v>10</v>
      </c>
      <c r="B11" s="42">
        <f t="shared" si="0"/>
        <v>450</v>
      </c>
      <c r="D11" s="46"/>
    </row>
    <row r="12" spans="1:4" x14ac:dyDescent="0.2">
      <c r="A12" s="42">
        <v>15</v>
      </c>
      <c r="B12" s="42">
        <f t="shared" si="0"/>
        <v>675</v>
      </c>
      <c r="D12" s="46"/>
    </row>
    <row r="13" spans="1:4" x14ac:dyDescent="0.2">
      <c r="A13" s="42">
        <v>50</v>
      </c>
      <c r="B13" s="42">
        <f t="shared" si="0"/>
        <v>2250</v>
      </c>
      <c r="D13" s="46"/>
    </row>
    <row r="14" spans="1:4" x14ac:dyDescent="0.2">
      <c r="A14" s="42">
        <v>75</v>
      </c>
      <c r="B14" s="42">
        <f t="shared" si="0"/>
        <v>3375</v>
      </c>
      <c r="D14" s="46"/>
    </row>
    <row r="15" spans="1:4" x14ac:dyDescent="0.2">
      <c r="A15" s="42">
        <v>100</v>
      </c>
      <c r="B15" s="42">
        <f t="shared" si="0"/>
        <v>4500</v>
      </c>
      <c r="D15" s="46"/>
    </row>
    <row r="16" spans="1:4" x14ac:dyDescent="0.2">
      <c r="A16" s="42">
        <v>150</v>
      </c>
      <c r="B16" s="42">
        <f t="shared" si="0"/>
        <v>6750</v>
      </c>
      <c r="D16" s="46"/>
    </row>
    <row r="17" spans="1:4" x14ac:dyDescent="0.2">
      <c r="A17" s="42">
        <v>180</v>
      </c>
      <c r="B17" s="42">
        <f t="shared" si="0"/>
        <v>8100</v>
      </c>
      <c r="D17" s="46"/>
    </row>
    <row r="20" spans="1:4" x14ac:dyDescent="0.2">
      <c r="A20" s="44" t="s">
        <v>167</v>
      </c>
      <c r="B20" s="15">
        <v>5000</v>
      </c>
    </row>
  </sheetData>
  <pageMargins left="0.75" right="0.75" top="1" bottom="1" header="0.51180555555555496" footer="0.51180555555555496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IT39"/>
  <sheetViews>
    <sheetView zoomScaleNormal="100" workbookViewId="0">
      <selection sqref="A1:B1"/>
    </sheetView>
  </sheetViews>
  <sheetFormatPr defaultRowHeight="12.75" x14ac:dyDescent="0.2"/>
  <cols>
    <col min="1" max="1" width="18.5703125" customWidth="1"/>
    <col min="2" max="2" width="5.7109375" customWidth="1"/>
    <col min="3" max="3" width="10.140625" customWidth="1"/>
    <col min="4" max="4" width="24.7109375" customWidth="1"/>
    <col min="5" max="6" width="6.7109375" style="30" customWidth="1"/>
    <col min="7" max="7" width="25" customWidth="1"/>
    <col min="8" max="9" width="6.7109375" style="30" customWidth="1"/>
    <col min="10" max="10" width="9.140625" customWidth="1"/>
    <col min="11" max="11" width="24.7109375" customWidth="1"/>
    <col min="12" max="13" width="6.7109375" customWidth="1"/>
    <col min="14" max="14" width="24.7109375" customWidth="1"/>
    <col min="15" max="16" width="6.7109375" customWidth="1"/>
    <col min="17" max="17" width="9.140625" customWidth="1"/>
    <col min="18" max="18" width="24.7109375" customWidth="1"/>
    <col min="19" max="20" width="6.7109375" customWidth="1"/>
    <col min="21" max="21" width="24.7109375" customWidth="1"/>
    <col min="22" max="23" width="6.7109375" customWidth="1"/>
    <col min="24" max="24" width="9.140625" customWidth="1"/>
    <col min="25" max="25" width="24.7109375" customWidth="1"/>
    <col min="26" max="27" width="6.7109375" customWidth="1"/>
    <col min="28" max="28" width="24.7109375" customWidth="1"/>
    <col min="29" max="30" width="6.7109375" customWidth="1"/>
    <col min="31" max="31" width="9.140625" customWidth="1"/>
    <col min="32" max="32" width="24.7109375" customWidth="1"/>
    <col min="33" max="34" width="6.7109375" customWidth="1"/>
    <col min="35" max="35" width="24.7109375" customWidth="1"/>
    <col min="36" max="37" width="6.7109375" customWidth="1"/>
    <col min="38" max="38" width="9.140625" customWidth="1"/>
    <col min="39" max="39" width="24.7109375" customWidth="1"/>
    <col min="40" max="41" width="6.7109375" customWidth="1"/>
    <col min="42" max="42" width="24.7109375" customWidth="1"/>
    <col min="43" max="44" width="6.7109375" customWidth="1"/>
    <col min="45" max="45" width="9.140625" customWidth="1"/>
    <col min="46" max="46" width="24.7109375" customWidth="1"/>
    <col min="47" max="48" width="6.7109375" customWidth="1"/>
    <col min="49" max="49" width="24.7109375" customWidth="1"/>
    <col min="50" max="51" width="6.7109375" customWidth="1"/>
    <col min="52" max="52" width="9.140625" customWidth="1"/>
    <col min="53" max="53" width="24.7109375" customWidth="1"/>
    <col min="54" max="55" width="6.7109375" customWidth="1"/>
    <col min="56" max="56" width="24.7109375" customWidth="1"/>
    <col min="57" max="58" width="6.7109375" customWidth="1"/>
    <col min="59" max="59" width="9.140625" customWidth="1"/>
    <col min="60" max="60" width="24.7109375" customWidth="1"/>
    <col min="61" max="62" width="6.7109375" customWidth="1"/>
    <col min="63" max="63" width="24.7109375" customWidth="1"/>
    <col min="64" max="65" width="6.7109375" customWidth="1"/>
    <col min="66" max="66" width="9.140625" customWidth="1"/>
    <col min="67" max="67" width="24.7109375" customWidth="1"/>
    <col min="68" max="69" width="6.7109375" customWidth="1"/>
    <col min="70" max="70" width="24.7109375" customWidth="1"/>
    <col min="71" max="72" width="6.7109375" customWidth="1"/>
    <col min="73" max="73" width="9.140625" customWidth="1"/>
    <col min="74" max="74" width="24.7109375" customWidth="1"/>
    <col min="75" max="76" width="6.7109375" customWidth="1"/>
    <col min="77" max="77" width="24.7109375" customWidth="1"/>
    <col min="78" max="79" width="6.7109375" customWidth="1"/>
    <col min="80" max="80" width="9.140625" customWidth="1"/>
    <col min="81" max="81" width="24.7109375" customWidth="1"/>
    <col min="82" max="83" width="6.7109375" customWidth="1"/>
    <col min="84" max="84" width="24.7109375" customWidth="1"/>
    <col min="85" max="86" width="6.7109375" customWidth="1"/>
    <col min="87" max="87" width="9.140625" customWidth="1"/>
    <col min="88" max="88" width="24.7109375" customWidth="1"/>
    <col min="89" max="90" width="6.7109375" customWidth="1"/>
    <col min="91" max="91" width="24.7109375" customWidth="1"/>
    <col min="92" max="93" width="6.7109375" customWidth="1"/>
    <col min="94" max="94" width="9.140625" customWidth="1"/>
    <col min="95" max="95" width="24.7109375" customWidth="1"/>
    <col min="96" max="97" width="6.7109375" customWidth="1"/>
    <col min="98" max="98" width="24.7109375" customWidth="1"/>
    <col min="99" max="100" width="6.7109375" customWidth="1"/>
    <col min="101" max="101" width="9.140625" customWidth="1"/>
    <col min="102" max="102" width="24.7109375" customWidth="1"/>
    <col min="103" max="104" width="6.7109375" customWidth="1"/>
    <col min="105" max="105" width="24.7109375" customWidth="1"/>
    <col min="106" max="107" width="6.7109375" customWidth="1"/>
    <col min="108" max="108" width="9.140625" customWidth="1"/>
    <col min="109" max="109" width="24.7109375" customWidth="1"/>
    <col min="110" max="111" width="6.7109375" customWidth="1"/>
    <col min="112" max="112" width="24.7109375" customWidth="1"/>
    <col min="113" max="114" width="6.7109375" customWidth="1"/>
    <col min="115" max="115" width="9.140625" customWidth="1"/>
    <col min="116" max="116" width="24.7109375" customWidth="1"/>
    <col min="117" max="118" width="6.7109375" customWidth="1"/>
    <col min="119" max="119" width="24.7109375" customWidth="1"/>
    <col min="120" max="121" width="6.7109375" customWidth="1"/>
    <col min="122" max="122" width="9.140625" customWidth="1"/>
    <col min="123" max="123" width="24.7109375" customWidth="1"/>
    <col min="124" max="125" width="6.7109375" customWidth="1"/>
    <col min="126" max="126" width="24.7109375" customWidth="1"/>
    <col min="127" max="128" width="6.7109375" customWidth="1"/>
    <col min="129" max="129" width="9.140625" customWidth="1"/>
    <col min="130" max="130" width="24.7109375" customWidth="1"/>
    <col min="131" max="132" width="6.7109375" customWidth="1"/>
    <col min="133" max="133" width="24.7109375" customWidth="1"/>
    <col min="134" max="135" width="6.7109375" customWidth="1"/>
    <col min="136" max="136" width="9.140625" customWidth="1"/>
    <col min="137" max="137" width="24.7109375" customWidth="1"/>
    <col min="138" max="139" width="6.7109375" customWidth="1"/>
    <col min="140" max="140" width="24.7109375" customWidth="1"/>
    <col min="141" max="142" width="6.7109375" customWidth="1"/>
    <col min="143" max="143" width="9.140625" customWidth="1"/>
    <col min="144" max="144" width="24.7109375" customWidth="1"/>
    <col min="145" max="145" width="6.28515625" customWidth="1"/>
    <col min="146" max="146" width="6.7109375" customWidth="1"/>
    <col min="147" max="147" width="24.7109375" customWidth="1"/>
    <col min="148" max="148" width="6.28515625" customWidth="1"/>
    <col min="149" max="149" width="7" customWidth="1"/>
    <col min="150" max="150" width="9.140625" customWidth="1"/>
    <col min="151" max="151" width="24.7109375" customWidth="1"/>
    <col min="152" max="152" width="6.28515625" customWidth="1"/>
    <col min="153" max="153" width="6.7109375" customWidth="1"/>
    <col min="154" max="154" width="24.7109375" customWidth="1"/>
    <col min="155" max="155" width="6.28515625" customWidth="1"/>
    <col min="156" max="156" width="7" customWidth="1"/>
    <col min="157" max="157" width="9.140625" customWidth="1"/>
    <col min="158" max="158" width="24.7109375" customWidth="1"/>
    <col min="159" max="159" width="6.28515625" customWidth="1"/>
    <col min="160" max="160" width="6.7109375" customWidth="1"/>
    <col min="161" max="161" width="24.7109375" customWidth="1"/>
    <col min="162" max="162" width="6.28515625" customWidth="1"/>
    <col min="163" max="163" width="7" customWidth="1"/>
    <col min="164" max="164" width="9.140625" customWidth="1"/>
    <col min="165" max="165" width="24.7109375" customWidth="1"/>
    <col min="166" max="166" width="6.28515625" customWidth="1"/>
    <col min="167" max="167" width="6.7109375" customWidth="1"/>
    <col min="168" max="168" width="24.7109375" customWidth="1"/>
    <col min="169" max="169" width="6.28515625" customWidth="1"/>
    <col min="170" max="170" width="7" customWidth="1"/>
    <col min="171" max="171" width="9.140625" customWidth="1"/>
    <col min="172" max="172" width="24.7109375" customWidth="1"/>
    <col min="173" max="173" width="6.28515625" customWidth="1"/>
    <col min="174" max="174" width="6.7109375" customWidth="1"/>
    <col min="175" max="175" width="24.7109375" customWidth="1"/>
    <col min="176" max="176" width="6.28515625" customWidth="1"/>
    <col min="177" max="177" width="7" customWidth="1"/>
    <col min="178" max="178" width="9.140625" customWidth="1"/>
    <col min="179" max="179" width="24.7109375" customWidth="1"/>
    <col min="180" max="180" width="6.28515625" customWidth="1"/>
    <col min="181" max="181" width="6.7109375" customWidth="1"/>
    <col min="182" max="182" width="24.7109375" customWidth="1"/>
    <col min="183" max="183" width="6.28515625" customWidth="1"/>
    <col min="184" max="184" width="7" customWidth="1"/>
    <col min="185" max="185" width="9.140625" customWidth="1"/>
    <col min="186" max="186" width="24.7109375" customWidth="1"/>
    <col min="187" max="187" width="6.28515625" customWidth="1"/>
    <col min="188" max="188" width="6.7109375" customWidth="1"/>
    <col min="189" max="189" width="24.7109375" customWidth="1"/>
    <col min="190" max="190" width="6.28515625" customWidth="1"/>
    <col min="191" max="191" width="7" customWidth="1"/>
    <col min="192" max="192" width="9.140625" customWidth="1"/>
    <col min="193" max="193" width="24.7109375" customWidth="1"/>
    <col min="194" max="194" width="6.28515625" customWidth="1"/>
    <col min="195" max="195" width="6.7109375" customWidth="1"/>
    <col min="196" max="196" width="24.7109375" customWidth="1"/>
    <col min="197" max="197" width="6.28515625" customWidth="1"/>
    <col min="198" max="198" width="7" customWidth="1"/>
    <col min="199" max="199" width="9.140625" customWidth="1"/>
    <col min="200" max="200" width="24.7109375" customWidth="1"/>
    <col min="201" max="201" width="6.28515625" customWidth="1"/>
    <col min="202" max="202" width="6.7109375" customWidth="1"/>
    <col min="203" max="203" width="24.7109375" customWidth="1"/>
    <col min="204" max="204" width="6.28515625" customWidth="1"/>
    <col min="205" max="205" width="7" customWidth="1"/>
    <col min="206" max="206" width="9.140625" customWidth="1"/>
    <col min="207" max="207" width="24.7109375" customWidth="1"/>
    <col min="208" max="208" width="6.28515625" customWidth="1"/>
    <col min="209" max="209" width="6.7109375" customWidth="1"/>
    <col min="210" max="210" width="24.7109375" customWidth="1"/>
    <col min="211" max="211" width="6.28515625" customWidth="1"/>
    <col min="212" max="212" width="7" customWidth="1"/>
    <col min="213" max="213" width="9.140625" customWidth="1"/>
    <col min="214" max="214" width="24.7109375" customWidth="1"/>
    <col min="215" max="215" width="6.28515625" customWidth="1"/>
    <col min="216" max="216" width="6.7109375" customWidth="1"/>
    <col min="217" max="217" width="24.7109375" customWidth="1"/>
    <col min="218" max="218" width="6.28515625" customWidth="1"/>
    <col min="219" max="219" width="7" customWidth="1"/>
    <col min="220" max="220" width="9.140625" customWidth="1"/>
    <col min="221" max="221" width="24.7109375" customWidth="1"/>
    <col min="222" max="222" width="6.28515625" customWidth="1"/>
    <col min="223" max="223" width="6.7109375" customWidth="1"/>
    <col min="224" max="224" width="24.7109375" customWidth="1"/>
    <col min="225" max="225" width="6.28515625" customWidth="1"/>
    <col min="226" max="226" width="7" customWidth="1"/>
    <col min="227" max="227" width="9.140625" customWidth="1"/>
    <col min="228" max="228" width="24.7109375" customWidth="1"/>
    <col min="229" max="229" width="6.28515625" customWidth="1"/>
    <col min="230" max="230" width="6.7109375" customWidth="1"/>
    <col min="231" max="231" width="24.7109375" customWidth="1"/>
    <col min="232" max="232" width="6.28515625" customWidth="1"/>
    <col min="233" max="233" width="7" customWidth="1"/>
    <col min="234" max="234" width="9.140625" customWidth="1"/>
    <col min="235" max="235" width="24.7109375" customWidth="1"/>
    <col min="236" max="236" width="6.28515625" customWidth="1"/>
    <col min="237" max="237" width="6.7109375" customWidth="1"/>
    <col min="238" max="238" width="24.7109375" customWidth="1"/>
    <col min="239" max="239" width="6.28515625" customWidth="1"/>
    <col min="240" max="240" width="7" customWidth="1"/>
    <col min="241" max="241" width="9.140625" customWidth="1"/>
    <col min="242" max="242" width="24.7109375" customWidth="1"/>
    <col min="243" max="243" width="6.28515625" customWidth="1"/>
    <col min="244" max="244" width="6.7109375" customWidth="1"/>
    <col min="245" max="245" width="24.7109375" customWidth="1"/>
    <col min="246" max="246" width="6.28515625" customWidth="1"/>
    <col min="247" max="247" width="7" customWidth="1"/>
    <col min="248" max="248" width="9.140625" customWidth="1"/>
    <col min="249" max="249" width="24.7109375" customWidth="1"/>
    <col min="250" max="250" width="6.28515625" customWidth="1"/>
    <col min="251" max="251" width="6.7109375" customWidth="1"/>
    <col min="252" max="252" width="24.7109375" customWidth="1"/>
    <col min="253" max="253" width="6.28515625" customWidth="1"/>
    <col min="254" max="254" width="7" customWidth="1"/>
    <col min="255" max="256" width="9.140625" customWidth="1"/>
    <col min="257" max="257" width="18.5703125" customWidth="1"/>
    <col min="258" max="258" width="5.7109375" customWidth="1"/>
    <col min="259" max="259" width="10.140625" customWidth="1"/>
    <col min="260" max="260" width="24.7109375" customWidth="1"/>
    <col min="261" max="262" width="6.7109375" customWidth="1"/>
    <col min="263" max="263" width="25" customWidth="1"/>
    <col min="264" max="265" width="6.7109375" customWidth="1"/>
    <col min="266" max="266" width="9.140625" customWidth="1"/>
    <col min="267" max="267" width="24.7109375" customWidth="1"/>
    <col min="268" max="269" width="6.7109375" customWidth="1"/>
    <col min="270" max="270" width="24.7109375" customWidth="1"/>
    <col min="271" max="272" width="6.7109375" customWidth="1"/>
    <col min="273" max="273" width="9.140625" customWidth="1"/>
    <col min="274" max="274" width="24.7109375" customWidth="1"/>
    <col min="275" max="276" width="6.7109375" customWidth="1"/>
    <col min="277" max="277" width="24.7109375" customWidth="1"/>
    <col min="278" max="279" width="6.7109375" customWidth="1"/>
    <col min="280" max="280" width="9.140625" customWidth="1"/>
    <col min="281" max="281" width="24.7109375" customWidth="1"/>
    <col min="282" max="283" width="6.7109375" customWidth="1"/>
    <col min="284" max="284" width="24.7109375" customWidth="1"/>
    <col min="285" max="286" width="6.7109375" customWidth="1"/>
    <col min="287" max="287" width="9.140625" customWidth="1"/>
    <col min="288" max="288" width="24.7109375" customWidth="1"/>
    <col min="289" max="290" width="6.7109375" customWidth="1"/>
    <col min="291" max="291" width="24.7109375" customWidth="1"/>
    <col min="292" max="293" width="6.7109375" customWidth="1"/>
    <col min="294" max="294" width="9.140625" customWidth="1"/>
    <col min="295" max="295" width="24.7109375" customWidth="1"/>
    <col min="296" max="297" width="6.7109375" customWidth="1"/>
    <col min="298" max="298" width="24.7109375" customWidth="1"/>
    <col min="299" max="300" width="6.7109375" customWidth="1"/>
    <col min="301" max="301" width="9.140625" customWidth="1"/>
    <col min="302" max="302" width="24.7109375" customWidth="1"/>
    <col min="303" max="304" width="6.7109375" customWidth="1"/>
    <col min="305" max="305" width="24.7109375" customWidth="1"/>
    <col min="306" max="307" width="6.7109375" customWidth="1"/>
    <col min="308" max="308" width="9.140625" customWidth="1"/>
    <col min="309" max="309" width="24.7109375" customWidth="1"/>
    <col min="310" max="311" width="6.7109375" customWidth="1"/>
    <col min="312" max="312" width="24.7109375" customWidth="1"/>
    <col min="313" max="314" width="6.7109375" customWidth="1"/>
    <col min="315" max="315" width="9.140625" customWidth="1"/>
    <col min="316" max="316" width="24.7109375" customWidth="1"/>
    <col min="317" max="318" width="6.7109375" customWidth="1"/>
    <col min="319" max="319" width="24.7109375" customWidth="1"/>
    <col min="320" max="321" width="6.7109375" customWidth="1"/>
    <col min="322" max="322" width="9.140625" customWidth="1"/>
    <col min="323" max="323" width="24.7109375" customWidth="1"/>
    <col min="324" max="325" width="6.7109375" customWidth="1"/>
    <col min="326" max="326" width="24.7109375" customWidth="1"/>
    <col min="327" max="328" width="6.7109375" customWidth="1"/>
    <col min="329" max="329" width="9.140625" customWidth="1"/>
    <col min="330" max="330" width="24.7109375" customWidth="1"/>
    <col min="331" max="332" width="6.7109375" customWidth="1"/>
    <col min="333" max="333" width="24.7109375" customWidth="1"/>
    <col min="334" max="335" width="6.7109375" customWidth="1"/>
    <col min="336" max="336" width="9.140625" customWidth="1"/>
    <col min="337" max="337" width="24.7109375" customWidth="1"/>
    <col min="338" max="339" width="6.7109375" customWidth="1"/>
    <col min="340" max="340" width="24.7109375" customWidth="1"/>
    <col min="341" max="342" width="6.7109375" customWidth="1"/>
    <col min="343" max="343" width="9.140625" customWidth="1"/>
    <col min="344" max="344" width="24.7109375" customWidth="1"/>
    <col min="345" max="346" width="6.7109375" customWidth="1"/>
    <col min="347" max="347" width="24.7109375" customWidth="1"/>
    <col min="348" max="349" width="6.7109375" customWidth="1"/>
    <col min="350" max="350" width="9.140625" customWidth="1"/>
    <col min="351" max="351" width="24.7109375" customWidth="1"/>
    <col min="352" max="353" width="6.7109375" customWidth="1"/>
    <col min="354" max="354" width="24.7109375" customWidth="1"/>
    <col min="355" max="356" width="6.7109375" customWidth="1"/>
    <col min="357" max="357" width="9.140625" customWidth="1"/>
    <col min="358" max="358" width="24.7109375" customWidth="1"/>
    <col min="359" max="360" width="6.7109375" customWidth="1"/>
    <col min="361" max="361" width="24.7109375" customWidth="1"/>
    <col min="362" max="363" width="6.7109375" customWidth="1"/>
    <col min="364" max="364" width="9.140625" customWidth="1"/>
    <col min="365" max="365" width="24.7109375" customWidth="1"/>
    <col min="366" max="367" width="6.7109375" customWidth="1"/>
    <col min="368" max="368" width="24.7109375" customWidth="1"/>
    <col min="369" max="370" width="6.7109375" customWidth="1"/>
    <col min="371" max="371" width="9.140625" customWidth="1"/>
    <col min="372" max="372" width="24.7109375" customWidth="1"/>
    <col min="373" max="374" width="6.7109375" customWidth="1"/>
    <col min="375" max="375" width="24.7109375" customWidth="1"/>
    <col min="376" max="377" width="6.7109375" customWidth="1"/>
    <col min="378" max="378" width="9.140625" customWidth="1"/>
    <col min="379" max="379" width="24.7109375" customWidth="1"/>
    <col min="380" max="381" width="6.7109375" customWidth="1"/>
    <col min="382" max="382" width="24.7109375" customWidth="1"/>
    <col min="383" max="384" width="6.7109375" customWidth="1"/>
    <col min="385" max="385" width="9.140625" customWidth="1"/>
    <col min="386" max="386" width="24.7109375" customWidth="1"/>
    <col min="387" max="388" width="6.7109375" customWidth="1"/>
    <col min="389" max="389" width="24.7109375" customWidth="1"/>
    <col min="390" max="391" width="6.7109375" customWidth="1"/>
    <col min="392" max="392" width="9.140625" customWidth="1"/>
    <col min="393" max="393" width="24.7109375" customWidth="1"/>
    <col min="394" max="395" width="6.7109375" customWidth="1"/>
    <col min="396" max="396" width="24.7109375" customWidth="1"/>
    <col min="397" max="398" width="6.7109375" customWidth="1"/>
    <col min="399" max="399" width="9.140625" customWidth="1"/>
    <col min="400" max="400" width="24.7109375" customWidth="1"/>
    <col min="401" max="401" width="6.28515625" customWidth="1"/>
    <col min="402" max="402" width="6.7109375" customWidth="1"/>
    <col min="403" max="403" width="24.7109375" customWidth="1"/>
    <col min="404" max="404" width="6.28515625" customWidth="1"/>
    <col min="405" max="405" width="7" customWidth="1"/>
    <col min="406" max="406" width="9.140625" customWidth="1"/>
    <col min="407" max="407" width="24.7109375" customWidth="1"/>
    <col min="408" max="408" width="6.28515625" customWidth="1"/>
    <col min="409" max="409" width="6.7109375" customWidth="1"/>
    <col min="410" max="410" width="24.7109375" customWidth="1"/>
    <col min="411" max="411" width="6.28515625" customWidth="1"/>
    <col min="412" max="412" width="7" customWidth="1"/>
    <col min="413" max="413" width="9.140625" customWidth="1"/>
    <col min="414" max="414" width="24.7109375" customWidth="1"/>
    <col min="415" max="415" width="6.28515625" customWidth="1"/>
    <col min="416" max="416" width="6.7109375" customWidth="1"/>
    <col min="417" max="417" width="24.7109375" customWidth="1"/>
    <col min="418" max="418" width="6.28515625" customWidth="1"/>
    <col min="419" max="419" width="7" customWidth="1"/>
    <col min="420" max="420" width="9.140625" customWidth="1"/>
    <col min="421" max="421" width="24.7109375" customWidth="1"/>
    <col min="422" max="422" width="6.28515625" customWidth="1"/>
    <col min="423" max="423" width="6.7109375" customWidth="1"/>
    <col min="424" max="424" width="24.7109375" customWidth="1"/>
    <col min="425" max="425" width="6.28515625" customWidth="1"/>
    <col min="426" max="426" width="7" customWidth="1"/>
    <col min="427" max="427" width="9.140625" customWidth="1"/>
    <col min="428" max="428" width="24.7109375" customWidth="1"/>
    <col min="429" max="429" width="6.28515625" customWidth="1"/>
    <col min="430" max="430" width="6.7109375" customWidth="1"/>
    <col min="431" max="431" width="24.7109375" customWidth="1"/>
    <col min="432" max="432" width="6.28515625" customWidth="1"/>
    <col min="433" max="433" width="7" customWidth="1"/>
    <col min="434" max="434" width="9.140625" customWidth="1"/>
    <col min="435" max="435" width="24.7109375" customWidth="1"/>
    <col min="436" max="436" width="6.28515625" customWidth="1"/>
    <col min="437" max="437" width="6.7109375" customWidth="1"/>
    <col min="438" max="438" width="24.7109375" customWidth="1"/>
    <col min="439" max="439" width="6.28515625" customWidth="1"/>
    <col min="440" max="440" width="7" customWidth="1"/>
    <col min="441" max="441" width="9.140625" customWidth="1"/>
    <col min="442" max="442" width="24.7109375" customWidth="1"/>
    <col min="443" max="443" width="6.28515625" customWidth="1"/>
    <col min="444" max="444" width="6.7109375" customWidth="1"/>
    <col min="445" max="445" width="24.7109375" customWidth="1"/>
    <col min="446" max="446" width="6.28515625" customWidth="1"/>
    <col min="447" max="447" width="7" customWidth="1"/>
    <col min="448" max="448" width="9.140625" customWidth="1"/>
    <col min="449" max="449" width="24.7109375" customWidth="1"/>
    <col min="450" max="450" width="6.28515625" customWidth="1"/>
    <col min="451" max="451" width="6.7109375" customWidth="1"/>
    <col min="452" max="452" width="24.7109375" customWidth="1"/>
    <col min="453" max="453" width="6.28515625" customWidth="1"/>
    <col min="454" max="454" width="7" customWidth="1"/>
    <col min="455" max="455" width="9.140625" customWidth="1"/>
    <col min="456" max="456" width="24.7109375" customWidth="1"/>
    <col min="457" max="457" width="6.28515625" customWidth="1"/>
    <col min="458" max="458" width="6.7109375" customWidth="1"/>
    <col min="459" max="459" width="24.7109375" customWidth="1"/>
    <col min="460" max="460" width="6.28515625" customWidth="1"/>
    <col min="461" max="461" width="7" customWidth="1"/>
    <col min="462" max="462" width="9.140625" customWidth="1"/>
    <col min="463" max="463" width="24.7109375" customWidth="1"/>
    <col min="464" max="464" width="6.28515625" customWidth="1"/>
    <col min="465" max="465" width="6.7109375" customWidth="1"/>
    <col min="466" max="466" width="24.7109375" customWidth="1"/>
    <col min="467" max="467" width="6.28515625" customWidth="1"/>
    <col min="468" max="468" width="7" customWidth="1"/>
    <col min="469" max="469" width="9.140625" customWidth="1"/>
    <col min="470" max="470" width="24.7109375" customWidth="1"/>
    <col min="471" max="471" width="6.28515625" customWidth="1"/>
    <col min="472" max="472" width="6.7109375" customWidth="1"/>
    <col min="473" max="473" width="24.7109375" customWidth="1"/>
    <col min="474" max="474" width="6.28515625" customWidth="1"/>
    <col min="475" max="475" width="7" customWidth="1"/>
    <col min="476" max="476" width="9.140625" customWidth="1"/>
    <col min="477" max="477" width="24.7109375" customWidth="1"/>
    <col min="478" max="478" width="6.28515625" customWidth="1"/>
    <col min="479" max="479" width="6.7109375" customWidth="1"/>
    <col min="480" max="480" width="24.7109375" customWidth="1"/>
    <col min="481" max="481" width="6.28515625" customWidth="1"/>
    <col min="482" max="482" width="7" customWidth="1"/>
    <col min="483" max="483" width="9.140625" customWidth="1"/>
    <col min="484" max="484" width="24.7109375" customWidth="1"/>
    <col min="485" max="485" width="6.28515625" customWidth="1"/>
    <col min="486" max="486" width="6.7109375" customWidth="1"/>
    <col min="487" max="487" width="24.7109375" customWidth="1"/>
    <col min="488" max="488" width="6.28515625" customWidth="1"/>
    <col min="489" max="489" width="7" customWidth="1"/>
    <col min="490" max="490" width="9.140625" customWidth="1"/>
    <col min="491" max="491" width="24.7109375" customWidth="1"/>
    <col min="492" max="492" width="6.28515625" customWidth="1"/>
    <col min="493" max="493" width="6.7109375" customWidth="1"/>
    <col min="494" max="494" width="24.7109375" customWidth="1"/>
    <col min="495" max="495" width="6.28515625" customWidth="1"/>
    <col min="496" max="496" width="7" customWidth="1"/>
    <col min="497" max="497" width="9.140625" customWidth="1"/>
    <col min="498" max="498" width="24.7109375" customWidth="1"/>
    <col min="499" max="499" width="6.28515625" customWidth="1"/>
    <col min="500" max="500" width="6.7109375" customWidth="1"/>
    <col min="501" max="501" width="24.7109375" customWidth="1"/>
    <col min="502" max="502" width="6.28515625" customWidth="1"/>
    <col min="503" max="503" width="7" customWidth="1"/>
    <col min="504" max="504" width="9.140625" customWidth="1"/>
    <col min="505" max="505" width="24.7109375" customWidth="1"/>
    <col min="506" max="506" width="6.28515625" customWidth="1"/>
    <col min="507" max="507" width="6.7109375" customWidth="1"/>
    <col min="508" max="508" width="24.7109375" customWidth="1"/>
    <col min="509" max="509" width="6.28515625" customWidth="1"/>
    <col min="510" max="510" width="7" customWidth="1"/>
    <col min="511" max="512" width="9.140625" customWidth="1"/>
    <col min="513" max="513" width="18.5703125" customWidth="1"/>
    <col min="514" max="514" width="5.7109375" customWidth="1"/>
    <col min="515" max="515" width="10.140625" customWidth="1"/>
    <col min="516" max="516" width="24.7109375" customWidth="1"/>
    <col min="517" max="518" width="6.7109375" customWidth="1"/>
    <col min="519" max="519" width="25" customWidth="1"/>
    <col min="520" max="521" width="6.7109375" customWidth="1"/>
    <col min="522" max="522" width="9.140625" customWidth="1"/>
    <col min="523" max="523" width="24.7109375" customWidth="1"/>
    <col min="524" max="525" width="6.7109375" customWidth="1"/>
    <col min="526" max="526" width="24.7109375" customWidth="1"/>
    <col min="527" max="528" width="6.7109375" customWidth="1"/>
    <col min="529" max="529" width="9.140625" customWidth="1"/>
    <col min="530" max="530" width="24.7109375" customWidth="1"/>
    <col min="531" max="532" width="6.7109375" customWidth="1"/>
    <col min="533" max="533" width="24.7109375" customWidth="1"/>
    <col min="534" max="535" width="6.7109375" customWidth="1"/>
    <col min="536" max="536" width="9.140625" customWidth="1"/>
    <col min="537" max="537" width="24.7109375" customWidth="1"/>
    <col min="538" max="539" width="6.7109375" customWidth="1"/>
    <col min="540" max="540" width="24.7109375" customWidth="1"/>
    <col min="541" max="542" width="6.7109375" customWidth="1"/>
    <col min="543" max="543" width="9.140625" customWidth="1"/>
    <col min="544" max="544" width="24.7109375" customWidth="1"/>
    <col min="545" max="546" width="6.7109375" customWidth="1"/>
    <col min="547" max="547" width="24.7109375" customWidth="1"/>
    <col min="548" max="549" width="6.7109375" customWidth="1"/>
    <col min="550" max="550" width="9.140625" customWidth="1"/>
    <col min="551" max="551" width="24.7109375" customWidth="1"/>
    <col min="552" max="553" width="6.7109375" customWidth="1"/>
    <col min="554" max="554" width="24.7109375" customWidth="1"/>
    <col min="555" max="556" width="6.7109375" customWidth="1"/>
    <col min="557" max="557" width="9.140625" customWidth="1"/>
    <col min="558" max="558" width="24.7109375" customWidth="1"/>
    <col min="559" max="560" width="6.7109375" customWidth="1"/>
    <col min="561" max="561" width="24.7109375" customWidth="1"/>
    <col min="562" max="563" width="6.7109375" customWidth="1"/>
    <col min="564" max="564" width="9.140625" customWidth="1"/>
    <col min="565" max="565" width="24.7109375" customWidth="1"/>
    <col min="566" max="567" width="6.7109375" customWidth="1"/>
    <col min="568" max="568" width="24.7109375" customWidth="1"/>
    <col min="569" max="570" width="6.7109375" customWidth="1"/>
    <col min="571" max="571" width="9.140625" customWidth="1"/>
    <col min="572" max="572" width="24.7109375" customWidth="1"/>
    <col min="573" max="574" width="6.7109375" customWidth="1"/>
    <col min="575" max="575" width="24.7109375" customWidth="1"/>
    <col min="576" max="577" width="6.7109375" customWidth="1"/>
    <col min="578" max="578" width="9.140625" customWidth="1"/>
    <col min="579" max="579" width="24.7109375" customWidth="1"/>
    <col min="580" max="581" width="6.7109375" customWidth="1"/>
    <col min="582" max="582" width="24.7109375" customWidth="1"/>
    <col min="583" max="584" width="6.7109375" customWidth="1"/>
    <col min="585" max="585" width="9.140625" customWidth="1"/>
    <col min="586" max="586" width="24.7109375" customWidth="1"/>
    <col min="587" max="588" width="6.7109375" customWidth="1"/>
    <col min="589" max="589" width="24.7109375" customWidth="1"/>
    <col min="590" max="591" width="6.7109375" customWidth="1"/>
    <col min="592" max="592" width="9.140625" customWidth="1"/>
    <col min="593" max="593" width="24.7109375" customWidth="1"/>
    <col min="594" max="595" width="6.7109375" customWidth="1"/>
    <col min="596" max="596" width="24.7109375" customWidth="1"/>
    <col min="597" max="598" width="6.7109375" customWidth="1"/>
    <col min="599" max="599" width="9.140625" customWidth="1"/>
    <col min="600" max="600" width="24.7109375" customWidth="1"/>
    <col min="601" max="602" width="6.7109375" customWidth="1"/>
    <col min="603" max="603" width="24.7109375" customWidth="1"/>
    <col min="604" max="605" width="6.7109375" customWidth="1"/>
    <col min="606" max="606" width="9.140625" customWidth="1"/>
    <col min="607" max="607" width="24.7109375" customWidth="1"/>
    <col min="608" max="609" width="6.7109375" customWidth="1"/>
    <col min="610" max="610" width="24.7109375" customWidth="1"/>
    <col min="611" max="612" width="6.7109375" customWidth="1"/>
    <col min="613" max="613" width="9.140625" customWidth="1"/>
    <col min="614" max="614" width="24.7109375" customWidth="1"/>
    <col min="615" max="616" width="6.7109375" customWidth="1"/>
    <col min="617" max="617" width="24.7109375" customWidth="1"/>
    <col min="618" max="619" width="6.7109375" customWidth="1"/>
    <col min="620" max="620" width="9.140625" customWidth="1"/>
    <col min="621" max="621" width="24.7109375" customWidth="1"/>
    <col min="622" max="623" width="6.7109375" customWidth="1"/>
    <col min="624" max="624" width="24.7109375" customWidth="1"/>
    <col min="625" max="626" width="6.7109375" customWidth="1"/>
    <col min="627" max="627" width="9.140625" customWidth="1"/>
    <col min="628" max="628" width="24.7109375" customWidth="1"/>
    <col min="629" max="630" width="6.7109375" customWidth="1"/>
    <col min="631" max="631" width="24.7109375" customWidth="1"/>
    <col min="632" max="633" width="6.7109375" customWidth="1"/>
    <col min="634" max="634" width="9.140625" customWidth="1"/>
    <col min="635" max="635" width="24.7109375" customWidth="1"/>
    <col min="636" max="637" width="6.7109375" customWidth="1"/>
    <col min="638" max="638" width="24.7109375" customWidth="1"/>
    <col min="639" max="640" width="6.7109375" customWidth="1"/>
    <col min="641" max="641" width="9.140625" customWidth="1"/>
    <col min="642" max="642" width="24.7109375" customWidth="1"/>
    <col min="643" max="644" width="6.7109375" customWidth="1"/>
    <col min="645" max="645" width="24.7109375" customWidth="1"/>
    <col min="646" max="647" width="6.7109375" customWidth="1"/>
    <col min="648" max="648" width="9.140625" customWidth="1"/>
    <col min="649" max="649" width="24.7109375" customWidth="1"/>
    <col min="650" max="651" width="6.7109375" customWidth="1"/>
    <col min="652" max="652" width="24.7109375" customWidth="1"/>
    <col min="653" max="654" width="6.7109375" customWidth="1"/>
    <col min="655" max="655" width="9.140625" customWidth="1"/>
    <col min="656" max="656" width="24.7109375" customWidth="1"/>
    <col min="657" max="657" width="6.28515625" customWidth="1"/>
    <col min="658" max="658" width="6.7109375" customWidth="1"/>
    <col min="659" max="659" width="24.7109375" customWidth="1"/>
    <col min="660" max="660" width="6.28515625" customWidth="1"/>
    <col min="661" max="661" width="7" customWidth="1"/>
    <col min="662" max="662" width="9.140625" customWidth="1"/>
    <col min="663" max="663" width="24.7109375" customWidth="1"/>
    <col min="664" max="664" width="6.28515625" customWidth="1"/>
    <col min="665" max="665" width="6.7109375" customWidth="1"/>
    <col min="666" max="666" width="24.7109375" customWidth="1"/>
    <col min="667" max="667" width="6.28515625" customWidth="1"/>
    <col min="668" max="668" width="7" customWidth="1"/>
    <col min="669" max="669" width="9.140625" customWidth="1"/>
    <col min="670" max="670" width="24.7109375" customWidth="1"/>
    <col min="671" max="671" width="6.28515625" customWidth="1"/>
    <col min="672" max="672" width="6.7109375" customWidth="1"/>
    <col min="673" max="673" width="24.7109375" customWidth="1"/>
    <col min="674" max="674" width="6.28515625" customWidth="1"/>
    <col min="675" max="675" width="7" customWidth="1"/>
    <col min="676" max="676" width="9.140625" customWidth="1"/>
    <col min="677" max="677" width="24.7109375" customWidth="1"/>
    <col min="678" max="678" width="6.28515625" customWidth="1"/>
    <col min="679" max="679" width="6.7109375" customWidth="1"/>
    <col min="680" max="680" width="24.7109375" customWidth="1"/>
    <col min="681" max="681" width="6.28515625" customWidth="1"/>
    <col min="682" max="682" width="7" customWidth="1"/>
    <col min="683" max="683" width="9.140625" customWidth="1"/>
    <col min="684" max="684" width="24.7109375" customWidth="1"/>
    <col min="685" max="685" width="6.28515625" customWidth="1"/>
    <col min="686" max="686" width="6.7109375" customWidth="1"/>
    <col min="687" max="687" width="24.7109375" customWidth="1"/>
    <col min="688" max="688" width="6.28515625" customWidth="1"/>
    <col min="689" max="689" width="7" customWidth="1"/>
    <col min="690" max="690" width="9.140625" customWidth="1"/>
    <col min="691" max="691" width="24.7109375" customWidth="1"/>
    <col min="692" max="692" width="6.28515625" customWidth="1"/>
    <col min="693" max="693" width="6.7109375" customWidth="1"/>
    <col min="694" max="694" width="24.7109375" customWidth="1"/>
    <col min="695" max="695" width="6.28515625" customWidth="1"/>
    <col min="696" max="696" width="7" customWidth="1"/>
    <col min="697" max="697" width="9.140625" customWidth="1"/>
    <col min="698" max="698" width="24.7109375" customWidth="1"/>
    <col min="699" max="699" width="6.28515625" customWidth="1"/>
    <col min="700" max="700" width="6.7109375" customWidth="1"/>
    <col min="701" max="701" width="24.7109375" customWidth="1"/>
    <col min="702" max="702" width="6.28515625" customWidth="1"/>
    <col min="703" max="703" width="7" customWidth="1"/>
    <col min="704" max="704" width="9.140625" customWidth="1"/>
    <col min="705" max="705" width="24.7109375" customWidth="1"/>
    <col min="706" max="706" width="6.28515625" customWidth="1"/>
    <col min="707" max="707" width="6.7109375" customWidth="1"/>
    <col min="708" max="708" width="24.7109375" customWidth="1"/>
    <col min="709" max="709" width="6.28515625" customWidth="1"/>
    <col min="710" max="710" width="7" customWidth="1"/>
    <col min="711" max="711" width="9.140625" customWidth="1"/>
    <col min="712" max="712" width="24.7109375" customWidth="1"/>
    <col min="713" max="713" width="6.28515625" customWidth="1"/>
    <col min="714" max="714" width="6.7109375" customWidth="1"/>
    <col min="715" max="715" width="24.7109375" customWidth="1"/>
    <col min="716" max="716" width="6.28515625" customWidth="1"/>
    <col min="717" max="717" width="7" customWidth="1"/>
    <col min="718" max="718" width="9.140625" customWidth="1"/>
    <col min="719" max="719" width="24.7109375" customWidth="1"/>
    <col min="720" max="720" width="6.28515625" customWidth="1"/>
    <col min="721" max="721" width="6.7109375" customWidth="1"/>
    <col min="722" max="722" width="24.7109375" customWidth="1"/>
    <col min="723" max="723" width="6.28515625" customWidth="1"/>
    <col min="724" max="724" width="7" customWidth="1"/>
    <col min="725" max="725" width="9.140625" customWidth="1"/>
    <col min="726" max="726" width="24.7109375" customWidth="1"/>
    <col min="727" max="727" width="6.28515625" customWidth="1"/>
    <col min="728" max="728" width="6.7109375" customWidth="1"/>
    <col min="729" max="729" width="24.7109375" customWidth="1"/>
    <col min="730" max="730" width="6.28515625" customWidth="1"/>
    <col min="731" max="731" width="7" customWidth="1"/>
    <col min="732" max="732" width="9.140625" customWidth="1"/>
    <col min="733" max="733" width="24.7109375" customWidth="1"/>
    <col min="734" max="734" width="6.28515625" customWidth="1"/>
    <col min="735" max="735" width="6.7109375" customWidth="1"/>
    <col min="736" max="736" width="24.7109375" customWidth="1"/>
    <col min="737" max="737" width="6.28515625" customWidth="1"/>
    <col min="738" max="738" width="7" customWidth="1"/>
    <col min="739" max="739" width="9.140625" customWidth="1"/>
    <col min="740" max="740" width="24.7109375" customWidth="1"/>
    <col min="741" max="741" width="6.28515625" customWidth="1"/>
    <col min="742" max="742" width="6.7109375" customWidth="1"/>
    <col min="743" max="743" width="24.7109375" customWidth="1"/>
    <col min="744" max="744" width="6.28515625" customWidth="1"/>
    <col min="745" max="745" width="7" customWidth="1"/>
    <col min="746" max="746" width="9.140625" customWidth="1"/>
    <col min="747" max="747" width="24.7109375" customWidth="1"/>
    <col min="748" max="748" width="6.28515625" customWidth="1"/>
    <col min="749" max="749" width="6.7109375" customWidth="1"/>
    <col min="750" max="750" width="24.7109375" customWidth="1"/>
    <col min="751" max="751" width="6.28515625" customWidth="1"/>
    <col min="752" max="752" width="7" customWidth="1"/>
    <col min="753" max="753" width="9.140625" customWidth="1"/>
    <col min="754" max="754" width="24.7109375" customWidth="1"/>
    <col min="755" max="755" width="6.28515625" customWidth="1"/>
    <col min="756" max="756" width="6.7109375" customWidth="1"/>
    <col min="757" max="757" width="24.7109375" customWidth="1"/>
    <col min="758" max="758" width="6.28515625" customWidth="1"/>
    <col min="759" max="759" width="7" customWidth="1"/>
    <col min="760" max="760" width="9.140625" customWidth="1"/>
    <col min="761" max="761" width="24.7109375" customWidth="1"/>
    <col min="762" max="762" width="6.28515625" customWidth="1"/>
    <col min="763" max="763" width="6.7109375" customWidth="1"/>
    <col min="764" max="764" width="24.7109375" customWidth="1"/>
    <col min="765" max="765" width="6.28515625" customWidth="1"/>
    <col min="766" max="766" width="7" customWidth="1"/>
    <col min="767" max="768" width="9.140625" customWidth="1"/>
    <col min="769" max="769" width="18.5703125" customWidth="1"/>
    <col min="770" max="770" width="5.7109375" customWidth="1"/>
    <col min="771" max="771" width="10.140625" customWidth="1"/>
    <col min="772" max="772" width="24.7109375" customWidth="1"/>
    <col min="773" max="774" width="6.7109375" customWidth="1"/>
    <col min="775" max="775" width="25" customWidth="1"/>
    <col min="776" max="777" width="6.7109375" customWidth="1"/>
    <col min="778" max="778" width="9.140625" customWidth="1"/>
    <col min="779" max="779" width="24.7109375" customWidth="1"/>
    <col min="780" max="781" width="6.7109375" customWidth="1"/>
    <col min="782" max="782" width="24.7109375" customWidth="1"/>
    <col min="783" max="784" width="6.7109375" customWidth="1"/>
    <col min="785" max="785" width="9.140625" customWidth="1"/>
    <col min="786" max="786" width="24.7109375" customWidth="1"/>
    <col min="787" max="788" width="6.7109375" customWidth="1"/>
    <col min="789" max="789" width="24.7109375" customWidth="1"/>
    <col min="790" max="791" width="6.7109375" customWidth="1"/>
    <col min="792" max="792" width="9.140625" customWidth="1"/>
    <col min="793" max="793" width="24.7109375" customWidth="1"/>
    <col min="794" max="795" width="6.7109375" customWidth="1"/>
    <col min="796" max="796" width="24.7109375" customWidth="1"/>
    <col min="797" max="798" width="6.7109375" customWidth="1"/>
    <col min="799" max="799" width="9.140625" customWidth="1"/>
    <col min="800" max="800" width="24.7109375" customWidth="1"/>
    <col min="801" max="802" width="6.7109375" customWidth="1"/>
    <col min="803" max="803" width="24.7109375" customWidth="1"/>
    <col min="804" max="805" width="6.7109375" customWidth="1"/>
    <col min="806" max="806" width="9.140625" customWidth="1"/>
    <col min="807" max="807" width="24.7109375" customWidth="1"/>
    <col min="808" max="809" width="6.7109375" customWidth="1"/>
    <col min="810" max="810" width="24.7109375" customWidth="1"/>
    <col min="811" max="812" width="6.7109375" customWidth="1"/>
    <col min="813" max="813" width="9.140625" customWidth="1"/>
    <col min="814" max="814" width="24.7109375" customWidth="1"/>
    <col min="815" max="816" width="6.7109375" customWidth="1"/>
    <col min="817" max="817" width="24.7109375" customWidth="1"/>
    <col min="818" max="819" width="6.7109375" customWidth="1"/>
    <col min="820" max="820" width="9.140625" customWidth="1"/>
    <col min="821" max="821" width="24.7109375" customWidth="1"/>
    <col min="822" max="823" width="6.7109375" customWidth="1"/>
    <col min="824" max="824" width="24.7109375" customWidth="1"/>
    <col min="825" max="826" width="6.7109375" customWidth="1"/>
    <col min="827" max="827" width="9.140625" customWidth="1"/>
    <col min="828" max="828" width="24.7109375" customWidth="1"/>
    <col min="829" max="830" width="6.7109375" customWidth="1"/>
    <col min="831" max="831" width="24.7109375" customWidth="1"/>
    <col min="832" max="833" width="6.7109375" customWidth="1"/>
    <col min="834" max="834" width="9.140625" customWidth="1"/>
    <col min="835" max="835" width="24.7109375" customWidth="1"/>
    <col min="836" max="837" width="6.7109375" customWidth="1"/>
    <col min="838" max="838" width="24.7109375" customWidth="1"/>
    <col min="839" max="840" width="6.7109375" customWidth="1"/>
    <col min="841" max="841" width="9.140625" customWidth="1"/>
    <col min="842" max="842" width="24.7109375" customWidth="1"/>
    <col min="843" max="844" width="6.7109375" customWidth="1"/>
    <col min="845" max="845" width="24.7109375" customWidth="1"/>
    <col min="846" max="847" width="6.7109375" customWidth="1"/>
    <col min="848" max="848" width="9.140625" customWidth="1"/>
    <col min="849" max="849" width="24.7109375" customWidth="1"/>
    <col min="850" max="851" width="6.7109375" customWidth="1"/>
    <col min="852" max="852" width="24.7109375" customWidth="1"/>
    <col min="853" max="854" width="6.7109375" customWidth="1"/>
    <col min="855" max="855" width="9.140625" customWidth="1"/>
    <col min="856" max="856" width="24.7109375" customWidth="1"/>
    <col min="857" max="858" width="6.7109375" customWidth="1"/>
    <col min="859" max="859" width="24.7109375" customWidth="1"/>
    <col min="860" max="861" width="6.7109375" customWidth="1"/>
    <col min="862" max="862" width="9.140625" customWidth="1"/>
    <col min="863" max="863" width="24.7109375" customWidth="1"/>
    <col min="864" max="865" width="6.7109375" customWidth="1"/>
    <col min="866" max="866" width="24.7109375" customWidth="1"/>
    <col min="867" max="868" width="6.7109375" customWidth="1"/>
    <col min="869" max="869" width="9.140625" customWidth="1"/>
    <col min="870" max="870" width="24.7109375" customWidth="1"/>
    <col min="871" max="872" width="6.7109375" customWidth="1"/>
    <col min="873" max="873" width="24.7109375" customWidth="1"/>
    <col min="874" max="875" width="6.7109375" customWidth="1"/>
    <col min="876" max="876" width="9.140625" customWidth="1"/>
    <col min="877" max="877" width="24.7109375" customWidth="1"/>
    <col min="878" max="879" width="6.7109375" customWidth="1"/>
    <col min="880" max="880" width="24.7109375" customWidth="1"/>
    <col min="881" max="882" width="6.7109375" customWidth="1"/>
    <col min="883" max="883" width="9.140625" customWidth="1"/>
    <col min="884" max="884" width="24.7109375" customWidth="1"/>
    <col min="885" max="886" width="6.7109375" customWidth="1"/>
    <col min="887" max="887" width="24.7109375" customWidth="1"/>
    <col min="888" max="889" width="6.7109375" customWidth="1"/>
    <col min="890" max="890" width="9.140625" customWidth="1"/>
    <col min="891" max="891" width="24.7109375" customWidth="1"/>
    <col min="892" max="893" width="6.7109375" customWidth="1"/>
    <col min="894" max="894" width="24.7109375" customWidth="1"/>
    <col min="895" max="896" width="6.7109375" customWidth="1"/>
    <col min="897" max="897" width="9.140625" customWidth="1"/>
    <col min="898" max="898" width="24.7109375" customWidth="1"/>
    <col min="899" max="900" width="6.7109375" customWidth="1"/>
    <col min="901" max="901" width="24.7109375" customWidth="1"/>
    <col min="902" max="903" width="6.7109375" customWidth="1"/>
    <col min="904" max="904" width="9.140625" customWidth="1"/>
    <col min="905" max="905" width="24.7109375" customWidth="1"/>
    <col min="906" max="907" width="6.7109375" customWidth="1"/>
    <col min="908" max="908" width="24.7109375" customWidth="1"/>
    <col min="909" max="910" width="6.7109375" customWidth="1"/>
    <col min="911" max="911" width="9.140625" customWidth="1"/>
    <col min="912" max="912" width="24.7109375" customWidth="1"/>
    <col min="913" max="913" width="6.28515625" customWidth="1"/>
    <col min="914" max="914" width="6.7109375" customWidth="1"/>
    <col min="915" max="915" width="24.7109375" customWidth="1"/>
    <col min="916" max="916" width="6.28515625" customWidth="1"/>
    <col min="917" max="917" width="7" customWidth="1"/>
    <col min="918" max="918" width="9.140625" customWidth="1"/>
    <col min="919" max="919" width="24.7109375" customWidth="1"/>
    <col min="920" max="920" width="6.28515625" customWidth="1"/>
    <col min="921" max="921" width="6.7109375" customWidth="1"/>
    <col min="922" max="922" width="24.7109375" customWidth="1"/>
    <col min="923" max="923" width="6.28515625" customWidth="1"/>
    <col min="924" max="924" width="7" customWidth="1"/>
    <col min="925" max="925" width="9.140625" customWidth="1"/>
    <col min="926" max="926" width="24.7109375" customWidth="1"/>
    <col min="927" max="927" width="6.28515625" customWidth="1"/>
    <col min="928" max="928" width="6.7109375" customWidth="1"/>
    <col min="929" max="929" width="24.7109375" customWidth="1"/>
    <col min="930" max="930" width="6.28515625" customWidth="1"/>
    <col min="931" max="931" width="7" customWidth="1"/>
    <col min="932" max="932" width="9.140625" customWidth="1"/>
    <col min="933" max="933" width="24.7109375" customWidth="1"/>
    <col min="934" max="934" width="6.28515625" customWidth="1"/>
    <col min="935" max="935" width="6.7109375" customWidth="1"/>
    <col min="936" max="936" width="24.7109375" customWidth="1"/>
    <col min="937" max="937" width="6.28515625" customWidth="1"/>
    <col min="938" max="938" width="7" customWidth="1"/>
    <col min="939" max="939" width="9.140625" customWidth="1"/>
    <col min="940" max="940" width="24.7109375" customWidth="1"/>
    <col min="941" max="941" width="6.28515625" customWidth="1"/>
    <col min="942" max="942" width="6.7109375" customWidth="1"/>
    <col min="943" max="943" width="24.7109375" customWidth="1"/>
    <col min="944" max="944" width="6.28515625" customWidth="1"/>
    <col min="945" max="945" width="7" customWidth="1"/>
    <col min="946" max="946" width="9.140625" customWidth="1"/>
    <col min="947" max="947" width="24.7109375" customWidth="1"/>
    <col min="948" max="948" width="6.28515625" customWidth="1"/>
    <col min="949" max="949" width="6.7109375" customWidth="1"/>
    <col min="950" max="950" width="24.7109375" customWidth="1"/>
    <col min="951" max="951" width="6.28515625" customWidth="1"/>
    <col min="952" max="952" width="7" customWidth="1"/>
    <col min="953" max="953" width="9.140625" customWidth="1"/>
    <col min="954" max="954" width="24.7109375" customWidth="1"/>
    <col min="955" max="955" width="6.28515625" customWidth="1"/>
    <col min="956" max="956" width="6.7109375" customWidth="1"/>
    <col min="957" max="957" width="24.7109375" customWidth="1"/>
    <col min="958" max="958" width="6.28515625" customWidth="1"/>
    <col min="959" max="959" width="7" customWidth="1"/>
    <col min="960" max="960" width="9.140625" customWidth="1"/>
    <col min="961" max="961" width="24.7109375" customWidth="1"/>
    <col min="962" max="962" width="6.28515625" customWidth="1"/>
    <col min="963" max="963" width="6.7109375" customWidth="1"/>
    <col min="964" max="964" width="24.7109375" customWidth="1"/>
    <col min="965" max="965" width="6.28515625" customWidth="1"/>
    <col min="966" max="966" width="7" customWidth="1"/>
    <col min="967" max="967" width="9.140625" customWidth="1"/>
    <col min="968" max="968" width="24.7109375" customWidth="1"/>
    <col min="969" max="969" width="6.28515625" customWidth="1"/>
    <col min="970" max="970" width="6.7109375" customWidth="1"/>
    <col min="971" max="971" width="24.7109375" customWidth="1"/>
    <col min="972" max="972" width="6.28515625" customWidth="1"/>
    <col min="973" max="973" width="7" customWidth="1"/>
    <col min="974" max="974" width="9.140625" customWidth="1"/>
    <col min="975" max="975" width="24.7109375" customWidth="1"/>
    <col min="976" max="976" width="6.28515625" customWidth="1"/>
    <col min="977" max="977" width="6.7109375" customWidth="1"/>
    <col min="978" max="978" width="24.7109375" customWidth="1"/>
    <col min="979" max="979" width="6.28515625" customWidth="1"/>
    <col min="980" max="980" width="7" customWidth="1"/>
    <col min="981" max="981" width="9.140625" customWidth="1"/>
    <col min="982" max="982" width="24.7109375" customWidth="1"/>
    <col min="983" max="983" width="6.28515625" customWidth="1"/>
    <col min="984" max="984" width="6.7109375" customWidth="1"/>
    <col min="985" max="985" width="24.7109375" customWidth="1"/>
    <col min="986" max="986" width="6.28515625" customWidth="1"/>
    <col min="987" max="987" width="7" customWidth="1"/>
    <col min="988" max="988" width="9.140625" customWidth="1"/>
    <col min="989" max="989" width="24.7109375" customWidth="1"/>
    <col min="990" max="990" width="6.28515625" customWidth="1"/>
    <col min="991" max="991" width="6.7109375" customWidth="1"/>
    <col min="992" max="992" width="24.7109375" customWidth="1"/>
    <col min="993" max="993" width="6.28515625" customWidth="1"/>
    <col min="994" max="994" width="7" customWidth="1"/>
    <col min="995" max="995" width="9.140625" customWidth="1"/>
    <col min="996" max="996" width="24.7109375" customWidth="1"/>
    <col min="997" max="997" width="6.28515625" customWidth="1"/>
    <col min="998" max="998" width="6.7109375" customWidth="1"/>
    <col min="999" max="999" width="24.7109375" customWidth="1"/>
    <col min="1000" max="1000" width="6.28515625" customWidth="1"/>
    <col min="1001" max="1001" width="7" customWidth="1"/>
    <col min="1002" max="1002" width="9.140625" customWidth="1"/>
    <col min="1003" max="1003" width="24.7109375" customWidth="1"/>
    <col min="1004" max="1004" width="6.28515625" customWidth="1"/>
    <col min="1005" max="1005" width="6.7109375" customWidth="1"/>
    <col min="1006" max="1006" width="24.7109375" customWidth="1"/>
    <col min="1007" max="1007" width="6.28515625" customWidth="1"/>
    <col min="1008" max="1008" width="7" customWidth="1"/>
    <col min="1009" max="1009" width="9.140625" customWidth="1"/>
    <col min="1010" max="1010" width="24.7109375" customWidth="1"/>
    <col min="1011" max="1011" width="6.28515625" customWidth="1"/>
    <col min="1012" max="1012" width="6.7109375" customWidth="1"/>
    <col min="1013" max="1013" width="24.7109375" customWidth="1"/>
    <col min="1014" max="1014" width="6.28515625" customWidth="1"/>
    <col min="1015" max="1015" width="7" customWidth="1"/>
    <col min="1016" max="1016" width="9.140625" customWidth="1"/>
    <col min="1017" max="1017" width="24.7109375" customWidth="1"/>
    <col min="1018" max="1018" width="6.28515625" customWidth="1"/>
    <col min="1019" max="1019" width="6.7109375" customWidth="1"/>
    <col min="1020" max="1020" width="24.7109375" customWidth="1"/>
    <col min="1021" max="1021" width="6.28515625" customWidth="1"/>
    <col min="1022" max="1022" width="7" customWidth="1"/>
    <col min="1023" max="1025" width="9.140625" customWidth="1"/>
  </cols>
  <sheetData>
    <row r="1" spans="1:254" x14ac:dyDescent="0.2">
      <c r="A1" s="212" t="s">
        <v>168</v>
      </c>
      <c r="B1" s="212"/>
    </row>
    <row r="2" spans="1:254" x14ac:dyDescent="0.2">
      <c r="A2" s="213" t="s">
        <v>169</v>
      </c>
      <c r="B2" s="213"/>
      <c r="C2" s="47"/>
      <c r="E2" s="48"/>
      <c r="F2" s="48"/>
      <c r="G2" s="49"/>
      <c r="H2" s="48"/>
      <c r="I2" s="48"/>
    </row>
    <row r="3" spans="1:254" x14ac:dyDescent="0.2">
      <c r="A3" s="50" t="s">
        <v>170</v>
      </c>
      <c r="B3" s="51">
        <v>0.04</v>
      </c>
    </row>
    <row r="4" spans="1:254" x14ac:dyDescent="0.2">
      <c r="A4" s="213" t="s">
        <v>171</v>
      </c>
      <c r="B4" s="213"/>
    </row>
    <row r="5" spans="1:254" x14ac:dyDescent="0.2">
      <c r="A5" s="50" t="s">
        <v>172</v>
      </c>
      <c r="B5" s="51">
        <v>0.3</v>
      </c>
      <c r="D5" s="214" t="s">
        <v>173</v>
      </c>
      <c r="E5" s="214"/>
      <c r="F5" s="214"/>
      <c r="G5" s="14" t="str">
        <f>TRFdata!C3</f>
        <v>MRNoSec_2018A</v>
      </c>
      <c r="K5" s="214" t="s">
        <v>174</v>
      </c>
      <c r="L5" s="214"/>
      <c r="M5" s="214"/>
      <c r="N5" s="14" t="str">
        <f>TRFdata!D3</f>
        <v>MRNoSec_2018P</v>
      </c>
      <c r="R5" s="214" t="s">
        <v>175</v>
      </c>
      <c r="S5" s="214"/>
      <c r="T5" s="214"/>
      <c r="U5" s="14" t="str">
        <f>TRFdata!E3</f>
        <v>MRNoSec_2018D</v>
      </c>
      <c r="Y5" s="214" t="s">
        <v>176</v>
      </c>
      <c r="Z5" s="214"/>
      <c r="AA5" s="214"/>
      <c r="AB5" s="13" t="str">
        <f>TRFdata!F3</f>
        <v>MRNoSec_2018N</v>
      </c>
      <c r="AF5" s="214" t="s">
        <v>177</v>
      </c>
      <c r="AG5" s="214"/>
      <c r="AH5" s="214"/>
      <c r="AI5" s="14" t="str">
        <f>TRFdata!G3</f>
        <v>MRNoSec_2033A</v>
      </c>
      <c r="AM5" s="214" t="s">
        <v>178</v>
      </c>
      <c r="AN5" s="214"/>
      <c r="AO5" s="214"/>
      <c r="AP5" s="14" t="str">
        <f>TRFdata!H3</f>
        <v>MRNoSec_2033P</v>
      </c>
      <c r="AT5" s="214" t="s">
        <v>179</v>
      </c>
      <c r="AU5" s="214"/>
      <c r="AV5" s="214"/>
      <c r="AW5" s="14" t="str">
        <f>TRFdata!I3</f>
        <v>MRNoSec_2033D</v>
      </c>
      <c r="AX5" s="30"/>
      <c r="AY5" s="30"/>
      <c r="BA5" s="214" t="s">
        <v>180</v>
      </c>
      <c r="BB5" s="214"/>
      <c r="BC5" s="214"/>
      <c r="BD5" s="14" t="str">
        <f>TRFdata!J3</f>
        <v>MRNoSec_2033N</v>
      </c>
      <c r="BE5" s="30"/>
      <c r="BF5" s="30"/>
      <c r="BH5" s="214" t="s">
        <v>181</v>
      </c>
      <c r="BI5" s="214"/>
      <c r="BJ5" s="214"/>
      <c r="BK5" s="14" t="str">
        <f>TRFdata!K3</f>
        <v>MRNoSec_2048A</v>
      </c>
      <c r="BL5" s="30"/>
      <c r="BM5" s="30"/>
      <c r="BO5" s="214" t="s">
        <v>182</v>
      </c>
      <c r="BP5" s="214"/>
      <c r="BQ5" s="214"/>
      <c r="BR5" s="14" t="str">
        <f>TRFdata!L3</f>
        <v>MRNoSec_2048P</v>
      </c>
      <c r="BS5" s="30"/>
      <c r="BT5" s="30"/>
      <c r="BV5" s="214" t="s">
        <v>183</v>
      </c>
      <c r="BW5" s="214"/>
      <c r="BX5" s="214"/>
      <c r="BY5" s="14" t="str">
        <f>TRFdata!M3</f>
        <v>MRNoSec_2048D</v>
      </c>
      <c r="BZ5" s="30"/>
      <c r="CA5" s="30"/>
      <c r="CC5" s="214" t="s">
        <v>184</v>
      </c>
      <c r="CD5" s="214"/>
      <c r="CE5" s="214"/>
      <c r="CF5" s="14" t="str">
        <f>TRFdata!N3</f>
        <v>MRNoSec_2048N</v>
      </c>
      <c r="CG5" s="30"/>
      <c r="CH5" s="30"/>
      <c r="CJ5" s="214" t="s">
        <v>185</v>
      </c>
      <c r="CK5" s="214"/>
      <c r="CL5" s="214"/>
      <c r="CM5" s="14"/>
      <c r="CN5" s="30"/>
      <c r="CO5" s="30"/>
      <c r="CQ5" s="214" t="s">
        <v>186</v>
      </c>
      <c r="CR5" s="214"/>
      <c r="CS5" s="214"/>
      <c r="CT5" s="14"/>
      <c r="CU5" s="30"/>
      <c r="CV5" s="30"/>
      <c r="CX5" s="214" t="s">
        <v>187</v>
      </c>
      <c r="CY5" s="214"/>
      <c r="CZ5" s="214"/>
      <c r="DA5" s="14"/>
      <c r="DB5" s="30"/>
      <c r="DC5" s="30"/>
      <c r="DE5" s="214" t="s">
        <v>188</v>
      </c>
      <c r="DF5" s="214"/>
      <c r="DG5" s="214"/>
      <c r="DH5" s="14"/>
      <c r="DI5" s="30"/>
      <c r="DJ5" s="30"/>
      <c r="DL5" s="214" t="s">
        <v>189</v>
      </c>
      <c r="DM5" s="214"/>
      <c r="DN5" s="214"/>
      <c r="DO5" s="14"/>
      <c r="DP5" s="30"/>
      <c r="DQ5" s="30"/>
      <c r="DS5" s="214" t="s">
        <v>190</v>
      </c>
      <c r="DT5" s="214"/>
      <c r="DU5" s="214"/>
      <c r="DV5" s="14"/>
      <c r="DW5" s="30"/>
      <c r="DX5" s="30"/>
      <c r="DZ5" s="214" t="s">
        <v>191</v>
      </c>
      <c r="EA5" s="214"/>
      <c r="EB5" s="214"/>
      <c r="EC5" s="14"/>
      <c r="ED5" s="30"/>
      <c r="EE5" s="30"/>
      <c r="EG5" s="214" t="s">
        <v>192</v>
      </c>
      <c r="EH5" s="214"/>
      <c r="EI5" s="214"/>
      <c r="EJ5" s="14"/>
      <c r="EK5" s="30"/>
      <c r="EL5" s="30"/>
      <c r="EN5" s="214" t="s">
        <v>193</v>
      </c>
      <c r="EO5" s="214"/>
      <c r="EP5" s="214"/>
      <c r="EQ5" s="14"/>
      <c r="ER5" s="30"/>
      <c r="ES5" s="30"/>
      <c r="EU5" s="214" t="s">
        <v>194</v>
      </c>
      <c r="EV5" s="214"/>
      <c r="EW5" s="214"/>
      <c r="EX5" s="14"/>
      <c r="EY5" s="30"/>
      <c r="EZ5" s="30"/>
      <c r="FB5" s="214" t="s">
        <v>195</v>
      </c>
      <c r="FC5" s="214"/>
      <c r="FD5" s="214"/>
      <c r="FE5" s="14"/>
      <c r="FF5" s="30"/>
      <c r="FG5" s="30"/>
      <c r="FI5" s="214" t="s">
        <v>196</v>
      </c>
      <c r="FJ5" s="214"/>
      <c r="FK5" s="214"/>
      <c r="FL5" s="14"/>
      <c r="FM5" s="30"/>
      <c r="FN5" s="30"/>
      <c r="FP5" s="214" t="s">
        <v>197</v>
      </c>
      <c r="FQ5" s="214"/>
      <c r="FR5" s="214"/>
      <c r="FS5" s="14"/>
      <c r="FT5" s="30"/>
      <c r="FU5" s="30"/>
      <c r="FW5" s="214" t="s">
        <v>198</v>
      </c>
      <c r="FX5" s="214"/>
      <c r="FY5" s="214"/>
      <c r="FZ5" s="14"/>
      <c r="GA5" s="30"/>
      <c r="GB5" s="30"/>
      <c r="GD5" s="214" t="s">
        <v>199</v>
      </c>
      <c r="GE5" s="214"/>
      <c r="GF5" s="214"/>
      <c r="GG5" s="14"/>
      <c r="GH5" s="30"/>
      <c r="GI5" s="30"/>
      <c r="GK5" s="214" t="s">
        <v>200</v>
      </c>
      <c r="GL5" s="214"/>
      <c r="GM5" s="214"/>
      <c r="GN5" s="14"/>
      <c r="GO5" s="30"/>
      <c r="GP5" s="30"/>
      <c r="GR5" s="214" t="s">
        <v>201</v>
      </c>
      <c r="GS5" s="214"/>
      <c r="GT5" s="214"/>
      <c r="GU5" s="14"/>
      <c r="GV5" s="30"/>
      <c r="GW5" s="30"/>
      <c r="GY5" s="214" t="s">
        <v>202</v>
      </c>
      <c r="GZ5" s="214"/>
      <c r="HA5" s="214"/>
      <c r="HB5" s="14"/>
      <c r="HC5" s="30"/>
      <c r="HD5" s="30"/>
      <c r="HF5" s="214" t="s">
        <v>203</v>
      </c>
      <c r="HG5" s="214"/>
      <c r="HH5" s="214"/>
      <c r="HI5" s="14"/>
      <c r="HJ5" s="30"/>
      <c r="HK5" s="30"/>
      <c r="HM5" s="214" t="s">
        <v>204</v>
      </c>
      <c r="HN5" s="214"/>
      <c r="HO5" s="214"/>
      <c r="HP5" s="14"/>
      <c r="HQ5" s="30"/>
      <c r="HR5" s="30"/>
      <c r="HT5" s="214" t="s">
        <v>205</v>
      </c>
      <c r="HU5" s="214"/>
      <c r="HV5" s="214"/>
      <c r="HW5" s="14"/>
      <c r="HX5" s="30"/>
      <c r="HY5" s="30"/>
      <c r="IA5" s="214" t="s">
        <v>206</v>
      </c>
      <c r="IB5" s="214"/>
      <c r="IC5" s="214"/>
      <c r="ID5" s="14"/>
      <c r="IE5" s="30"/>
      <c r="IF5" s="30"/>
      <c r="IH5" s="214" t="s">
        <v>207</v>
      </c>
      <c r="II5" s="214"/>
      <c r="IJ5" s="214"/>
      <c r="IK5" s="14"/>
      <c r="IL5" s="30"/>
      <c r="IM5" s="30"/>
      <c r="IO5" s="214" t="s">
        <v>208</v>
      </c>
      <c r="IP5" s="214"/>
      <c r="IQ5" s="214"/>
      <c r="IR5" s="14"/>
      <c r="IS5" s="30"/>
      <c r="IT5" s="30"/>
    </row>
    <row r="6" spans="1:254" x14ac:dyDescent="0.2">
      <c r="AU6" s="30"/>
      <c r="AV6" s="30"/>
      <c r="AX6" s="30"/>
      <c r="AY6" s="30"/>
      <c r="BB6" s="30"/>
      <c r="BC6" s="30"/>
      <c r="BE6" s="30"/>
      <c r="BF6" s="30"/>
      <c r="BI6" s="30"/>
      <c r="BJ6" s="30"/>
      <c r="BL6" s="30"/>
      <c r="BM6" s="30"/>
      <c r="BP6" s="30"/>
      <c r="BQ6" s="30"/>
      <c r="BS6" s="30"/>
      <c r="BT6" s="30"/>
      <c r="BW6" s="30"/>
      <c r="BX6" s="30"/>
      <c r="BZ6" s="30"/>
      <c r="CA6" s="30"/>
      <c r="CD6" s="30"/>
      <c r="CE6" s="30"/>
      <c r="CG6" s="30"/>
      <c r="CH6" s="30"/>
      <c r="CK6" s="30"/>
      <c r="CL6" s="30"/>
      <c r="CN6" s="30"/>
      <c r="CO6" s="30"/>
      <c r="CR6" s="30"/>
      <c r="CS6" s="30"/>
      <c r="CU6" s="30"/>
      <c r="CV6" s="30"/>
      <c r="CY6" s="30"/>
      <c r="CZ6" s="30"/>
      <c r="DB6" s="30"/>
      <c r="DC6" s="30"/>
      <c r="DF6" s="30"/>
      <c r="DG6" s="30"/>
      <c r="DI6" s="30"/>
      <c r="DJ6" s="30"/>
      <c r="DM6" s="30"/>
      <c r="DN6" s="30"/>
      <c r="DP6" s="30"/>
      <c r="DQ6" s="30"/>
      <c r="DT6" s="30"/>
      <c r="DU6" s="30"/>
      <c r="DW6" s="30"/>
      <c r="DX6" s="30"/>
      <c r="EA6" s="30"/>
      <c r="EB6" s="30"/>
      <c r="ED6" s="30"/>
      <c r="EE6" s="30"/>
      <c r="EH6" s="30"/>
      <c r="EI6" s="30"/>
      <c r="EK6" s="30"/>
      <c r="EL6" s="30"/>
      <c r="EO6" s="30"/>
      <c r="EP6" s="30"/>
      <c r="ER6" s="30"/>
      <c r="ES6" s="30"/>
      <c r="EV6" s="30"/>
      <c r="EW6" s="30"/>
      <c r="EY6" s="30"/>
      <c r="EZ6" s="30"/>
      <c r="FC6" s="30"/>
      <c r="FD6" s="30"/>
      <c r="FF6" s="30"/>
      <c r="FG6" s="30"/>
      <c r="FJ6" s="30"/>
      <c r="FK6" s="30"/>
      <c r="FM6" s="30"/>
      <c r="FN6" s="30"/>
      <c r="FQ6" s="30"/>
      <c r="FR6" s="30"/>
      <c r="FT6" s="30"/>
      <c r="FU6" s="30"/>
      <c r="FX6" s="30"/>
      <c r="FY6" s="30"/>
      <c r="GA6" s="30"/>
      <c r="GB6" s="30"/>
      <c r="GE6" s="30"/>
      <c r="GF6" s="30"/>
      <c r="GH6" s="30"/>
      <c r="GI6" s="30"/>
      <c r="GL6" s="30"/>
      <c r="GM6" s="30"/>
      <c r="GO6" s="30"/>
      <c r="GP6" s="30"/>
      <c r="GS6" s="30"/>
      <c r="GT6" s="30"/>
      <c r="GV6" s="30"/>
      <c r="GW6" s="30"/>
      <c r="GZ6" s="30"/>
      <c r="HA6" s="30"/>
      <c r="HC6" s="30"/>
      <c r="HD6" s="30"/>
      <c r="HG6" s="30"/>
      <c r="HH6" s="30"/>
      <c r="HJ6" s="30"/>
      <c r="HK6" s="30"/>
      <c r="HN6" s="30"/>
      <c r="HO6" s="30"/>
      <c r="HQ6" s="30"/>
      <c r="HR6" s="30"/>
      <c r="HU6" s="30"/>
      <c r="HV6" s="30"/>
      <c r="HX6" s="30"/>
      <c r="HY6" s="30"/>
      <c r="IB6" s="30"/>
      <c r="IC6" s="30"/>
      <c r="IE6" s="30"/>
      <c r="IF6" s="30"/>
      <c r="II6" s="30"/>
      <c r="IJ6" s="30"/>
      <c r="IL6" s="30"/>
      <c r="IM6" s="30"/>
      <c r="IP6" s="30"/>
      <c r="IQ6" s="30"/>
      <c r="IS6" s="30"/>
      <c r="IT6" s="30"/>
    </row>
    <row r="7" spans="1:254" s="1" customFormat="1" x14ac:dyDescent="0.2">
      <c r="D7" s="215" t="s">
        <v>209</v>
      </c>
      <c r="E7" s="215"/>
      <c r="F7" s="215"/>
      <c r="G7" s="215" t="s">
        <v>210</v>
      </c>
      <c r="H7" s="215"/>
      <c r="I7" s="215"/>
      <c r="K7" s="215" t="s">
        <v>209</v>
      </c>
      <c r="L7" s="215"/>
      <c r="M7" s="215"/>
      <c r="N7" s="215" t="s">
        <v>210</v>
      </c>
      <c r="O7" s="215"/>
      <c r="P7" s="215"/>
      <c r="R7" s="215" t="s">
        <v>209</v>
      </c>
      <c r="S7" s="215"/>
      <c r="T7" s="215"/>
      <c r="U7" s="215" t="s">
        <v>210</v>
      </c>
      <c r="V7" s="215"/>
      <c r="W7" s="215"/>
      <c r="Y7" s="215" t="s">
        <v>209</v>
      </c>
      <c r="Z7" s="215"/>
      <c r="AA7" s="215"/>
      <c r="AB7" s="215" t="s">
        <v>210</v>
      </c>
      <c r="AC7" s="215"/>
      <c r="AD7" s="215"/>
      <c r="AF7" s="215" t="s">
        <v>209</v>
      </c>
      <c r="AG7" s="215"/>
      <c r="AH7" s="215"/>
      <c r="AI7" s="215" t="s">
        <v>210</v>
      </c>
      <c r="AJ7" s="215"/>
      <c r="AK7" s="215"/>
      <c r="AM7" s="215" t="s">
        <v>209</v>
      </c>
      <c r="AN7" s="215"/>
      <c r="AO7" s="215"/>
      <c r="AP7" s="215" t="s">
        <v>210</v>
      </c>
      <c r="AQ7" s="215"/>
      <c r="AR7" s="215"/>
      <c r="AT7" s="215" t="s">
        <v>209</v>
      </c>
      <c r="AU7" s="215"/>
      <c r="AV7" s="215"/>
      <c r="AW7" s="215" t="s">
        <v>210</v>
      </c>
      <c r="AX7" s="215"/>
      <c r="AY7" s="215"/>
      <c r="BA7" s="215" t="s">
        <v>209</v>
      </c>
      <c r="BB7" s="215"/>
      <c r="BC7" s="215"/>
      <c r="BD7" s="215" t="s">
        <v>210</v>
      </c>
      <c r="BE7" s="215"/>
      <c r="BF7" s="215"/>
      <c r="BH7" s="215" t="s">
        <v>209</v>
      </c>
      <c r="BI7" s="215"/>
      <c r="BJ7" s="215"/>
      <c r="BK7" s="215" t="s">
        <v>210</v>
      </c>
      <c r="BL7" s="215"/>
      <c r="BM7" s="215"/>
      <c r="BO7" s="215" t="s">
        <v>209</v>
      </c>
      <c r="BP7" s="215"/>
      <c r="BQ7" s="215"/>
      <c r="BR7" s="215" t="s">
        <v>210</v>
      </c>
      <c r="BS7" s="215"/>
      <c r="BT7" s="215"/>
      <c r="BV7" s="215" t="s">
        <v>209</v>
      </c>
      <c r="BW7" s="215"/>
      <c r="BX7" s="215"/>
      <c r="BY7" s="215" t="s">
        <v>210</v>
      </c>
      <c r="BZ7" s="215"/>
      <c r="CA7" s="215"/>
      <c r="CC7" s="215" t="s">
        <v>209</v>
      </c>
      <c r="CD7" s="215"/>
      <c r="CE7" s="215"/>
      <c r="CF7" s="215" t="s">
        <v>210</v>
      </c>
      <c r="CG7" s="215"/>
      <c r="CH7" s="215"/>
      <c r="CJ7" s="215" t="s">
        <v>209</v>
      </c>
      <c r="CK7" s="215"/>
      <c r="CL7" s="215"/>
      <c r="CM7" s="215" t="s">
        <v>210</v>
      </c>
      <c r="CN7" s="215"/>
      <c r="CO7" s="215"/>
      <c r="CQ7" s="215" t="s">
        <v>209</v>
      </c>
      <c r="CR7" s="215"/>
      <c r="CS7" s="215"/>
      <c r="CT7" s="215" t="s">
        <v>210</v>
      </c>
      <c r="CU7" s="215"/>
      <c r="CV7" s="215"/>
      <c r="CX7" s="215" t="s">
        <v>209</v>
      </c>
      <c r="CY7" s="215"/>
      <c r="CZ7" s="215"/>
      <c r="DA7" s="215" t="s">
        <v>210</v>
      </c>
      <c r="DB7" s="215"/>
      <c r="DC7" s="215"/>
      <c r="DE7" s="215" t="s">
        <v>209</v>
      </c>
      <c r="DF7" s="215"/>
      <c r="DG7" s="215"/>
      <c r="DH7" s="215" t="s">
        <v>210</v>
      </c>
      <c r="DI7" s="215"/>
      <c r="DJ7" s="215"/>
      <c r="DL7" s="215" t="s">
        <v>209</v>
      </c>
      <c r="DM7" s="215"/>
      <c r="DN7" s="215"/>
      <c r="DO7" s="215" t="s">
        <v>210</v>
      </c>
      <c r="DP7" s="215"/>
      <c r="DQ7" s="215"/>
      <c r="DS7" s="215" t="s">
        <v>209</v>
      </c>
      <c r="DT7" s="215"/>
      <c r="DU7" s="215"/>
      <c r="DV7" s="215" t="s">
        <v>210</v>
      </c>
      <c r="DW7" s="215"/>
      <c r="DX7" s="215"/>
      <c r="DZ7" s="215" t="s">
        <v>209</v>
      </c>
      <c r="EA7" s="215"/>
      <c r="EB7" s="215"/>
      <c r="EC7" s="215" t="s">
        <v>210</v>
      </c>
      <c r="ED7" s="215"/>
      <c r="EE7" s="215"/>
      <c r="EG7" s="215" t="s">
        <v>209</v>
      </c>
      <c r="EH7" s="215"/>
      <c r="EI7" s="215"/>
      <c r="EJ7" s="215" t="s">
        <v>210</v>
      </c>
      <c r="EK7" s="215"/>
      <c r="EL7" s="215"/>
      <c r="EN7" s="215" t="s">
        <v>209</v>
      </c>
      <c r="EO7" s="215"/>
      <c r="EP7" s="215"/>
      <c r="EQ7" s="215" t="s">
        <v>210</v>
      </c>
      <c r="ER7" s="215"/>
      <c r="ES7" s="215"/>
      <c r="EU7" s="215" t="s">
        <v>209</v>
      </c>
      <c r="EV7" s="215"/>
      <c r="EW7" s="215"/>
      <c r="EX7" s="215" t="s">
        <v>210</v>
      </c>
      <c r="EY7" s="215"/>
      <c r="EZ7" s="215"/>
      <c r="FB7" s="215" t="s">
        <v>209</v>
      </c>
      <c r="FC7" s="215"/>
      <c r="FD7" s="215"/>
      <c r="FE7" s="215" t="s">
        <v>210</v>
      </c>
      <c r="FF7" s="215"/>
      <c r="FG7" s="215"/>
      <c r="FI7" s="215" t="s">
        <v>209</v>
      </c>
      <c r="FJ7" s="215"/>
      <c r="FK7" s="215"/>
      <c r="FL7" s="215" t="s">
        <v>210</v>
      </c>
      <c r="FM7" s="215"/>
      <c r="FN7" s="215"/>
      <c r="FP7" s="215" t="s">
        <v>209</v>
      </c>
      <c r="FQ7" s="215"/>
      <c r="FR7" s="215"/>
      <c r="FS7" s="215" t="s">
        <v>210</v>
      </c>
      <c r="FT7" s="215"/>
      <c r="FU7" s="215"/>
      <c r="FW7" s="215" t="s">
        <v>209</v>
      </c>
      <c r="FX7" s="215"/>
      <c r="FY7" s="215"/>
      <c r="FZ7" s="215" t="s">
        <v>210</v>
      </c>
      <c r="GA7" s="215"/>
      <c r="GB7" s="215"/>
      <c r="GD7" s="215" t="s">
        <v>209</v>
      </c>
      <c r="GE7" s="215"/>
      <c r="GF7" s="215"/>
      <c r="GG7" s="215" t="s">
        <v>210</v>
      </c>
      <c r="GH7" s="215"/>
      <c r="GI7" s="215"/>
      <c r="GK7" s="215" t="s">
        <v>209</v>
      </c>
      <c r="GL7" s="215"/>
      <c r="GM7" s="215"/>
      <c r="GN7" s="215" t="s">
        <v>210</v>
      </c>
      <c r="GO7" s="215"/>
      <c r="GP7" s="215"/>
      <c r="GR7" s="215" t="s">
        <v>209</v>
      </c>
      <c r="GS7" s="215"/>
      <c r="GT7" s="215"/>
      <c r="GU7" s="215" t="s">
        <v>210</v>
      </c>
      <c r="GV7" s="215"/>
      <c r="GW7" s="215"/>
      <c r="GY7" s="215" t="s">
        <v>209</v>
      </c>
      <c r="GZ7" s="215"/>
      <c r="HA7" s="215"/>
      <c r="HB7" s="215" t="s">
        <v>210</v>
      </c>
      <c r="HC7" s="215"/>
      <c r="HD7" s="215"/>
      <c r="HF7" s="215" t="s">
        <v>209</v>
      </c>
      <c r="HG7" s="215"/>
      <c r="HH7" s="215"/>
      <c r="HI7" s="215" t="s">
        <v>210</v>
      </c>
      <c r="HJ7" s="215"/>
      <c r="HK7" s="215"/>
      <c r="HM7" s="215" t="s">
        <v>209</v>
      </c>
      <c r="HN7" s="215"/>
      <c r="HO7" s="215"/>
      <c r="HP7" s="215" t="s">
        <v>210</v>
      </c>
      <c r="HQ7" s="215"/>
      <c r="HR7" s="215"/>
      <c r="HT7" s="215" t="s">
        <v>209</v>
      </c>
      <c r="HU7" s="215"/>
      <c r="HV7" s="215"/>
      <c r="HW7" s="215" t="s">
        <v>210</v>
      </c>
      <c r="HX7" s="215"/>
      <c r="HY7" s="215"/>
      <c r="IA7" s="215" t="s">
        <v>209</v>
      </c>
      <c r="IB7" s="215"/>
      <c r="IC7" s="215"/>
      <c r="ID7" s="215" t="s">
        <v>210</v>
      </c>
      <c r="IE7" s="215"/>
      <c r="IF7" s="215"/>
      <c r="IH7" s="215" t="s">
        <v>209</v>
      </c>
      <c r="II7" s="215"/>
      <c r="IJ7" s="215"/>
      <c r="IK7" s="215" t="s">
        <v>210</v>
      </c>
      <c r="IL7" s="215"/>
      <c r="IM7" s="215"/>
      <c r="IO7" s="215" t="s">
        <v>209</v>
      </c>
      <c r="IP7" s="215"/>
      <c r="IQ7" s="215"/>
      <c r="IR7" s="215" t="s">
        <v>210</v>
      </c>
      <c r="IS7" s="215"/>
      <c r="IT7" s="215"/>
    </row>
    <row r="8" spans="1:254" x14ac:dyDescent="0.2">
      <c r="D8" s="52" t="s">
        <v>211</v>
      </c>
      <c r="E8" s="53">
        <f>SUM(E11:E16)</f>
        <v>79</v>
      </c>
      <c r="F8" s="54"/>
      <c r="G8" s="52" t="s">
        <v>212</v>
      </c>
      <c r="H8" s="53">
        <f>SUM(H11:H16)</f>
        <v>98</v>
      </c>
      <c r="I8" s="54"/>
      <c r="K8" s="52" t="s">
        <v>211</v>
      </c>
      <c r="L8" s="53">
        <f>SUM(L11:L16)</f>
        <v>103</v>
      </c>
      <c r="M8" s="54"/>
      <c r="N8" s="52" t="s">
        <v>212</v>
      </c>
      <c r="O8" s="53">
        <f>SUM(O11:O16)</f>
        <v>101</v>
      </c>
      <c r="P8" s="54"/>
      <c r="R8" s="52" t="s">
        <v>211</v>
      </c>
      <c r="S8" s="53">
        <f>SUM(S11:S16)</f>
        <v>80.399999999999991</v>
      </c>
      <c r="T8" s="54"/>
      <c r="U8" s="52" t="s">
        <v>212</v>
      </c>
      <c r="V8" s="53">
        <f>SUM(V11:V16)</f>
        <v>82.100000000000009</v>
      </c>
      <c r="W8" s="54"/>
      <c r="Y8" s="52" t="s">
        <v>211</v>
      </c>
      <c r="Z8" s="53">
        <f>SUM(Z11:Z16)</f>
        <v>23.166666666666668</v>
      </c>
      <c r="AA8" s="54"/>
      <c r="AB8" s="52" t="s">
        <v>212</v>
      </c>
      <c r="AC8" s="53">
        <f>SUM(AC11:AC16)</f>
        <v>19.416666666666664</v>
      </c>
      <c r="AD8" s="54"/>
      <c r="AF8" s="52" t="s">
        <v>211</v>
      </c>
      <c r="AG8" s="53">
        <f>SUM(AG11:AG16)</f>
        <v>96.775000000000006</v>
      </c>
      <c r="AH8" s="54"/>
      <c r="AI8" s="52" t="s">
        <v>212</v>
      </c>
      <c r="AJ8" s="53">
        <f>SUM(AJ11:AJ16)</f>
        <v>120.05</v>
      </c>
      <c r="AK8" s="54"/>
      <c r="AM8" s="52" t="s">
        <v>211</v>
      </c>
      <c r="AN8" s="53">
        <f>SUM(AN11:AN16)</f>
        <v>126.17500000000001</v>
      </c>
      <c r="AO8" s="54"/>
      <c r="AP8" s="52" t="s">
        <v>212</v>
      </c>
      <c r="AQ8" s="53">
        <f>SUM(AQ11:AQ16)</f>
        <v>123.72499999999999</v>
      </c>
      <c r="AR8" s="54"/>
      <c r="AT8" s="52" t="s">
        <v>211</v>
      </c>
      <c r="AU8" s="53">
        <f>SUM(AU11:AU16)</f>
        <v>98.490000000000009</v>
      </c>
      <c r="AV8" s="54"/>
      <c r="AW8" s="52" t="s">
        <v>212</v>
      </c>
      <c r="AX8" s="53">
        <f>SUM(AX11:AX16)</f>
        <v>100.57250000000001</v>
      </c>
      <c r="AY8" s="54"/>
      <c r="BA8" s="52" t="s">
        <v>211</v>
      </c>
      <c r="BB8" s="53">
        <f>SUM(BB11:BB16)</f>
        <v>28.379166666666666</v>
      </c>
      <c r="BC8" s="54"/>
      <c r="BD8" s="52" t="s">
        <v>212</v>
      </c>
      <c r="BE8" s="53">
        <f>SUM(BE11:BE16)</f>
        <v>23.785416666666666</v>
      </c>
      <c r="BF8" s="54"/>
      <c r="BH8" s="52" t="s">
        <v>211</v>
      </c>
      <c r="BI8" s="53">
        <f>SUM(BI11:BI16)</f>
        <v>114.55</v>
      </c>
      <c r="BJ8" s="54"/>
      <c r="BK8" s="52" t="s">
        <v>212</v>
      </c>
      <c r="BL8" s="53">
        <f>SUM(BL11:BL16)</f>
        <v>142.1</v>
      </c>
      <c r="BM8" s="54"/>
      <c r="BO8" s="52" t="s">
        <v>211</v>
      </c>
      <c r="BP8" s="53">
        <f>SUM(BP11:BP16)</f>
        <v>149.35</v>
      </c>
      <c r="BQ8" s="54"/>
      <c r="BR8" s="52" t="s">
        <v>212</v>
      </c>
      <c r="BS8" s="53">
        <f>SUM(BS11:BS16)</f>
        <v>146.44999999999999</v>
      </c>
      <c r="BT8" s="54"/>
      <c r="BV8" s="52" t="s">
        <v>211</v>
      </c>
      <c r="BW8" s="53">
        <f>SUM(BW11:BW16)</f>
        <v>116.57999999999998</v>
      </c>
      <c r="BX8" s="54"/>
      <c r="BY8" s="52" t="s">
        <v>212</v>
      </c>
      <c r="BZ8" s="53">
        <f>SUM(BZ11:BZ16)</f>
        <v>119.045</v>
      </c>
      <c r="CA8" s="54"/>
      <c r="CC8" s="52" t="s">
        <v>211</v>
      </c>
      <c r="CD8" s="53">
        <f>SUM(CD11:CD16)</f>
        <v>33.591666666666669</v>
      </c>
      <c r="CE8" s="54"/>
      <c r="CF8" s="52" t="s">
        <v>212</v>
      </c>
      <c r="CG8" s="53">
        <f>SUM(CG11:CG16)</f>
        <v>28.154166666666669</v>
      </c>
      <c r="CH8" s="54"/>
      <c r="CJ8" s="52" t="s">
        <v>211</v>
      </c>
      <c r="CK8" s="53">
        <f>SUM(CK11:CK16)</f>
        <v>725</v>
      </c>
      <c r="CL8" s="54"/>
      <c r="CM8" s="52" t="s">
        <v>212</v>
      </c>
      <c r="CN8" s="53">
        <f>SUM(CN11:CN16)</f>
        <v>725</v>
      </c>
      <c r="CO8" s="54"/>
      <c r="CQ8" s="52" t="s">
        <v>211</v>
      </c>
      <c r="CR8" s="53">
        <f>SUM(CR11:CR16)</f>
        <v>725</v>
      </c>
      <c r="CS8" s="54"/>
      <c r="CT8" s="52" t="s">
        <v>212</v>
      </c>
      <c r="CU8" s="53">
        <f>SUM(CU11:CU16)</f>
        <v>725</v>
      </c>
      <c r="CV8" s="54"/>
      <c r="CX8" s="52" t="s">
        <v>211</v>
      </c>
      <c r="CY8" s="53">
        <f>SUM(CY11:CY16)</f>
        <v>725</v>
      </c>
      <c r="CZ8" s="54"/>
      <c r="DA8" s="52" t="s">
        <v>212</v>
      </c>
      <c r="DB8" s="53">
        <f>SUM(DB11:DB16)</f>
        <v>725</v>
      </c>
      <c r="DC8" s="54"/>
      <c r="DE8" s="52" t="s">
        <v>211</v>
      </c>
      <c r="DF8" s="53">
        <f>SUM(DF11:DF16)</f>
        <v>725</v>
      </c>
      <c r="DG8" s="54"/>
      <c r="DH8" s="52" t="s">
        <v>212</v>
      </c>
      <c r="DI8" s="53">
        <f>SUM(DI11:DI16)</f>
        <v>725</v>
      </c>
      <c r="DJ8" s="54"/>
      <c r="DL8" s="52" t="s">
        <v>211</v>
      </c>
      <c r="DM8" s="53">
        <f>SUM(DM11:DM16)</f>
        <v>725</v>
      </c>
      <c r="DN8" s="54"/>
      <c r="DO8" s="52" t="s">
        <v>212</v>
      </c>
      <c r="DP8" s="53">
        <f>SUM(DP11:DP16)</f>
        <v>725</v>
      </c>
      <c r="DQ8" s="54"/>
      <c r="DS8" s="52" t="s">
        <v>211</v>
      </c>
      <c r="DT8" s="53">
        <f>SUM(DT11:DT16)</f>
        <v>725</v>
      </c>
      <c r="DU8" s="54"/>
      <c r="DV8" s="52" t="s">
        <v>212</v>
      </c>
      <c r="DW8" s="53">
        <f>SUM(DW11:DW16)</f>
        <v>725</v>
      </c>
      <c r="DX8" s="54"/>
      <c r="DZ8" s="52" t="s">
        <v>211</v>
      </c>
      <c r="EA8" s="53">
        <f>SUM(EA11:EA16)</f>
        <v>725</v>
      </c>
      <c r="EB8" s="54"/>
      <c r="EC8" s="52" t="s">
        <v>212</v>
      </c>
      <c r="ED8" s="53">
        <f>SUM(ED11:ED16)</f>
        <v>725</v>
      </c>
      <c r="EE8" s="54"/>
      <c r="EG8" s="52" t="s">
        <v>211</v>
      </c>
      <c r="EH8" s="53">
        <f>SUM(EH11:EH16)</f>
        <v>725</v>
      </c>
      <c r="EI8" s="54"/>
      <c r="EJ8" s="52" t="s">
        <v>212</v>
      </c>
      <c r="EK8" s="53">
        <f>SUM(EK11:EK16)</f>
        <v>725</v>
      </c>
      <c r="EL8" s="54"/>
      <c r="EN8" s="52" t="s">
        <v>211</v>
      </c>
      <c r="EO8" s="53">
        <f>SUM(EO11:EO16)</f>
        <v>720</v>
      </c>
      <c r="EP8" s="54"/>
      <c r="EQ8" s="52" t="s">
        <v>212</v>
      </c>
      <c r="ER8" s="53">
        <f>SUM(ER11:ER16)</f>
        <v>720</v>
      </c>
      <c r="ES8" s="54"/>
      <c r="EU8" s="52" t="s">
        <v>211</v>
      </c>
      <c r="EV8" s="53">
        <f>SUM(EV11:EV16)</f>
        <v>720</v>
      </c>
      <c r="EW8" s="54"/>
      <c r="EX8" s="52" t="s">
        <v>212</v>
      </c>
      <c r="EY8" s="53">
        <f>SUM(EY11:EY16)</f>
        <v>720</v>
      </c>
      <c r="EZ8" s="54"/>
      <c r="FB8" s="52" t="s">
        <v>211</v>
      </c>
      <c r="FC8" s="53">
        <f>SUM(FC11:FC16)</f>
        <v>720</v>
      </c>
      <c r="FD8" s="54"/>
      <c r="FE8" s="52" t="s">
        <v>212</v>
      </c>
      <c r="FF8" s="53">
        <f>SUM(FF11:FF16)</f>
        <v>720</v>
      </c>
      <c r="FG8" s="54"/>
      <c r="FI8" s="52" t="s">
        <v>211</v>
      </c>
      <c r="FJ8" s="53">
        <f>SUM(FJ11:FJ16)</f>
        <v>720</v>
      </c>
      <c r="FK8" s="54"/>
      <c r="FL8" s="52" t="s">
        <v>212</v>
      </c>
      <c r="FM8" s="53">
        <f>SUM(FM11:FM16)</f>
        <v>720</v>
      </c>
      <c r="FN8" s="54"/>
      <c r="FP8" s="52" t="s">
        <v>211</v>
      </c>
      <c r="FQ8" s="53">
        <f>SUM(FQ11:FQ16)</f>
        <v>720</v>
      </c>
      <c r="FR8" s="54"/>
      <c r="FS8" s="52" t="s">
        <v>212</v>
      </c>
      <c r="FT8" s="53">
        <f>SUM(FT11:FT16)</f>
        <v>720</v>
      </c>
      <c r="FU8" s="54"/>
      <c r="FW8" s="52" t="s">
        <v>211</v>
      </c>
      <c r="FX8" s="53">
        <f>SUM(FX11:FX16)</f>
        <v>720</v>
      </c>
      <c r="FY8" s="54"/>
      <c r="FZ8" s="52" t="s">
        <v>212</v>
      </c>
      <c r="GA8" s="53">
        <f>SUM(GA11:GA16)</f>
        <v>720</v>
      </c>
      <c r="GB8" s="54"/>
      <c r="GD8" s="52" t="s">
        <v>211</v>
      </c>
      <c r="GE8" s="53">
        <f>SUM(GE11:GE16)</f>
        <v>720</v>
      </c>
      <c r="GF8" s="54"/>
      <c r="GG8" s="52" t="s">
        <v>212</v>
      </c>
      <c r="GH8" s="53">
        <f>SUM(GH11:GH16)</f>
        <v>720</v>
      </c>
      <c r="GI8" s="54"/>
      <c r="GK8" s="52" t="s">
        <v>211</v>
      </c>
      <c r="GL8" s="53">
        <f>SUM(GL11:GL16)</f>
        <v>720</v>
      </c>
      <c r="GM8" s="54"/>
      <c r="GN8" s="52" t="s">
        <v>212</v>
      </c>
      <c r="GO8" s="53">
        <f>SUM(GO11:GO16)</f>
        <v>720</v>
      </c>
      <c r="GP8" s="54"/>
      <c r="GR8" s="52" t="s">
        <v>211</v>
      </c>
      <c r="GS8" s="53">
        <f>SUM(GS11:GS16)</f>
        <v>720</v>
      </c>
      <c r="GT8" s="54"/>
      <c r="GU8" s="52" t="s">
        <v>212</v>
      </c>
      <c r="GV8" s="53">
        <f>SUM(GV11:GV16)</f>
        <v>720</v>
      </c>
      <c r="GW8" s="54"/>
      <c r="GY8" s="52" t="s">
        <v>211</v>
      </c>
      <c r="GZ8" s="53">
        <f>SUM(GZ11:GZ16)</f>
        <v>720</v>
      </c>
      <c r="HA8" s="54"/>
      <c r="HB8" s="52" t="s">
        <v>212</v>
      </c>
      <c r="HC8" s="53">
        <f>SUM(HC11:HC16)</f>
        <v>720</v>
      </c>
      <c r="HD8" s="54"/>
      <c r="HF8" s="52" t="s">
        <v>211</v>
      </c>
      <c r="HG8" s="53">
        <f>SUM(HG11:HG16)</f>
        <v>720</v>
      </c>
      <c r="HH8" s="54"/>
      <c r="HI8" s="52" t="s">
        <v>212</v>
      </c>
      <c r="HJ8" s="53">
        <f>SUM(HJ11:HJ16)</f>
        <v>720</v>
      </c>
      <c r="HK8" s="54"/>
      <c r="HM8" s="52" t="s">
        <v>211</v>
      </c>
      <c r="HN8" s="53">
        <f>SUM(HN11:HN16)</f>
        <v>720</v>
      </c>
      <c r="HO8" s="54"/>
      <c r="HP8" s="52" t="s">
        <v>212</v>
      </c>
      <c r="HQ8" s="53">
        <f>SUM(HQ11:HQ16)</f>
        <v>720</v>
      </c>
      <c r="HR8" s="54"/>
      <c r="HT8" s="52" t="s">
        <v>211</v>
      </c>
      <c r="HU8" s="53">
        <f>SUM(HU11:HU16)</f>
        <v>720</v>
      </c>
      <c r="HV8" s="54"/>
      <c r="HW8" s="52" t="s">
        <v>212</v>
      </c>
      <c r="HX8" s="53">
        <f>SUM(HX11:HX16)</f>
        <v>720</v>
      </c>
      <c r="HY8" s="54"/>
      <c r="IA8" s="52" t="s">
        <v>211</v>
      </c>
      <c r="IB8" s="53">
        <f>SUM(IB11:IB16)</f>
        <v>720</v>
      </c>
      <c r="IC8" s="54"/>
      <c r="ID8" s="52" t="s">
        <v>212</v>
      </c>
      <c r="IE8" s="53">
        <f>SUM(IE11:IE16)</f>
        <v>720</v>
      </c>
      <c r="IF8" s="54"/>
      <c r="IH8" s="52" t="s">
        <v>211</v>
      </c>
      <c r="II8" s="53">
        <f>SUM(II11:II16)</f>
        <v>720</v>
      </c>
      <c r="IJ8" s="54"/>
      <c r="IK8" s="52" t="s">
        <v>212</v>
      </c>
      <c r="IL8" s="53">
        <f>SUM(IL11:IL16)</f>
        <v>720</v>
      </c>
      <c r="IM8" s="54"/>
      <c r="IO8" s="52" t="s">
        <v>211</v>
      </c>
      <c r="IP8" s="53">
        <f>SUM(IP11:IP16)</f>
        <v>720</v>
      </c>
      <c r="IQ8" s="54"/>
      <c r="IR8" s="52" t="s">
        <v>212</v>
      </c>
      <c r="IS8" s="53">
        <f>SUM(IS11:IS16)</f>
        <v>720</v>
      </c>
      <c r="IT8" s="54"/>
    </row>
    <row r="9" spans="1:254" s="20" customFormat="1" x14ac:dyDescent="0.2">
      <c r="D9" s="55" t="s">
        <v>213</v>
      </c>
      <c r="E9" s="53">
        <f>ROUND(2.236*SQRT(_TS1),1)</f>
        <v>19.899999999999999</v>
      </c>
      <c r="F9" s="56"/>
      <c r="G9" s="55" t="s">
        <v>214</v>
      </c>
      <c r="H9" s="53">
        <f>ROUND(2.236*SQRT(H8),1 )</f>
        <v>22.1</v>
      </c>
      <c r="I9" s="56"/>
      <c r="K9" s="55" t="s">
        <v>213</v>
      </c>
      <c r="L9" s="53">
        <f>ROUND(2.236*SQRT(_TS2),1)</f>
        <v>22.7</v>
      </c>
      <c r="M9" s="56"/>
      <c r="N9" s="55" t="s">
        <v>214</v>
      </c>
      <c r="O9" s="53">
        <f>ROUND(2.236*SQRT(O8),1 )</f>
        <v>22.5</v>
      </c>
      <c r="P9" s="56"/>
      <c r="R9" s="55" t="s">
        <v>213</v>
      </c>
      <c r="S9" s="53">
        <f>ROUND(2.236*SQRT(_TS3),1)</f>
        <v>20</v>
      </c>
      <c r="T9" s="56"/>
      <c r="U9" s="55" t="s">
        <v>214</v>
      </c>
      <c r="V9" s="53">
        <f>ROUND(2.236*SQRT(V8),1 )</f>
        <v>20.3</v>
      </c>
      <c r="W9" s="56"/>
      <c r="Y9" s="55" t="s">
        <v>213</v>
      </c>
      <c r="Z9" s="53">
        <f>ROUND(2.236*SQRT(_TS4),1)</f>
        <v>10.8</v>
      </c>
      <c r="AA9" s="56"/>
      <c r="AB9" s="55" t="s">
        <v>214</v>
      </c>
      <c r="AC9" s="53">
        <f>ROUND(2.236*SQRT(AC8),1 )</f>
        <v>9.9</v>
      </c>
      <c r="AD9" s="56"/>
      <c r="AF9" s="55" t="s">
        <v>213</v>
      </c>
      <c r="AG9" s="53">
        <f>ROUND(2.236*SQRT(_TS5),1)</f>
        <v>22</v>
      </c>
      <c r="AH9" s="56"/>
      <c r="AI9" s="55" t="s">
        <v>214</v>
      </c>
      <c r="AJ9" s="53">
        <f>ROUND(2.236*SQRT(AJ8),1 )</f>
        <v>24.5</v>
      </c>
      <c r="AK9" s="56"/>
      <c r="AM9" s="55" t="s">
        <v>213</v>
      </c>
      <c r="AN9" s="53">
        <f>ROUND(2.236*SQRT(_TS6),1)</f>
        <v>25.1</v>
      </c>
      <c r="AO9" s="56"/>
      <c r="AP9" s="55" t="s">
        <v>214</v>
      </c>
      <c r="AQ9" s="53">
        <f>ROUND(2.236*SQRT(AQ8),1 )</f>
        <v>24.9</v>
      </c>
      <c r="AR9" s="56"/>
      <c r="AT9" s="55" t="s">
        <v>213</v>
      </c>
      <c r="AU9" s="53">
        <f>ROUND(2.236*SQRT(_TS7),1)</f>
        <v>22.2</v>
      </c>
      <c r="AV9" s="56"/>
      <c r="AW9" s="55" t="s">
        <v>214</v>
      </c>
      <c r="AX9" s="53">
        <f>ROUND(2.236*SQRT(AX8),1 )</f>
        <v>22.4</v>
      </c>
      <c r="AY9" s="56"/>
      <c r="BA9" s="55" t="s">
        <v>213</v>
      </c>
      <c r="BB9" s="53">
        <f>ROUND(2.236*SQRT(_TS8),1)</f>
        <v>11.9</v>
      </c>
      <c r="BC9" s="56"/>
      <c r="BD9" s="55" t="s">
        <v>214</v>
      </c>
      <c r="BE9" s="53">
        <f>ROUND(2.236*SQRT(BE8),1 )</f>
        <v>10.9</v>
      </c>
      <c r="BF9" s="56"/>
      <c r="BH9" s="55" t="s">
        <v>213</v>
      </c>
      <c r="BI9" s="53">
        <f>ROUND(2.236*SQRT(_TS9),1)</f>
        <v>23.9</v>
      </c>
      <c r="BJ9" s="56"/>
      <c r="BK9" s="55" t="s">
        <v>214</v>
      </c>
      <c r="BL9" s="53">
        <f>ROUND(2.236*SQRT(BL8),1 )</f>
        <v>26.7</v>
      </c>
      <c r="BM9" s="56"/>
      <c r="BO9" s="55" t="s">
        <v>213</v>
      </c>
      <c r="BP9" s="53">
        <f>ROUND(2.236*SQRT(_TS10),1)</f>
        <v>27.3</v>
      </c>
      <c r="BQ9" s="56"/>
      <c r="BR9" s="55" t="s">
        <v>214</v>
      </c>
      <c r="BS9" s="53">
        <f>ROUND(2.236*SQRT(BS8),1 )</f>
        <v>27.1</v>
      </c>
      <c r="BT9" s="56"/>
      <c r="BV9" s="55" t="s">
        <v>213</v>
      </c>
      <c r="BW9" s="53">
        <f>ROUND(2.236*SQRT(_TS11),1)</f>
        <v>24.1</v>
      </c>
      <c r="BX9" s="56"/>
      <c r="BY9" s="55" t="s">
        <v>214</v>
      </c>
      <c r="BZ9" s="53">
        <f>ROUND(2.236*SQRT(BZ8),1 )</f>
        <v>24.4</v>
      </c>
      <c r="CA9" s="56"/>
      <c r="CC9" s="55" t="s">
        <v>213</v>
      </c>
      <c r="CD9" s="53">
        <f>ROUND(2.236*SQRT(_TS12),1)</f>
        <v>13</v>
      </c>
      <c r="CE9" s="56"/>
      <c r="CF9" s="55" t="s">
        <v>214</v>
      </c>
      <c r="CG9" s="53">
        <f>ROUND(2.236*SQRT(CG8),1 )</f>
        <v>11.9</v>
      </c>
      <c r="CH9" s="56"/>
      <c r="CJ9" s="55" t="s">
        <v>213</v>
      </c>
      <c r="CK9" s="53">
        <f>ROUND(2.236*SQRT(_TS13),1)</f>
        <v>60.2</v>
      </c>
      <c r="CL9" s="56"/>
      <c r="CM9" s="55" t="s">
        <v>214</v>
      </c>
      <c r="CN9" s="53">
        <f>ROUND(2.236*SQRT(CN8),1 )</f>
        <v>60.2</v>
      </c>
      <c r="CO9" s="56"/>
      <c r="CQ9" s="55" t="s">
        <v>213</v>
      </c>
      <c r="CR9" s="53">
        <f>ROUND(2.236*SQRT(_TS1),14)</f>
        <v>19.874002717117701</v>
      </c>
      <c r="CS9" s="56"/>
      <c r="CT9" s="55" t="s">
        <v>214</v>
      </c>
      <c r="CU9" s="53">
        <f>ROUND(2.236*SQRT(CU8),1 )</f>
        <v>60.2</v>
      </c>
      <c r="CV9" s="56"/>
      <c r="CX9" s="55" t="s">
        <v>213</v>
      </c>
      <c r="CY9" s="53">
        <f>ROUND(2.236*SQRT(_TS15),1)</f>
        <v>60.2</v>
      </c>
      <c r="CZ9" s="56"/>
      <c r="DA9" s="55" t="s">
        <v>214</v>
      </c>
      <c r="DB9" s="53">
        <f>ROUND(2.236*SQRT(DB8),1 )</f>
        <v>60.2</v>
      </c>
      <c r="DC9" s="56"/>
      <c r="DE9" s="55" t="s">
        <v>213</v>
      </c>
      <c r="DF9" s="53">
        <f>ROUND(2.236*SQRT(_TS1),16)</f>
        <v>19.874002717117701</v>
      </c>
      <c r="DG9" s="56"/>
      <c r="DH9" s="55" t="s">
        <v>214</v>
      </c>
      <c r="DI9" s="53">
        <f>ROUND(2.236*SQRT(DI8),1 )</f>
        <v>60.2</v>
      </c>
      <c r="DJ9" s="56"/>
      <c r="DL9" s="55" t="s">
        <v>213</v>
      </c>
      <c r="DM9" s="53">
        <f>ROUND(2.236*SQRT(_TS1),17)</f>
        <v>19.874002717117701</v>
      </c>
      <c r="DN9" s="56"/>
      <c r="DO9" s="55" t="s">
        <v>214</v>
      </c>
      <c r="DP9" s="53">
        <f>ROUND(2.236*SQRT(DP8),1 )</f>
        <v>60.2</v>
      </c>
      <c r="DQ9" s="56"/>
      <c r="DS9" s="55" t="s">
        <v>213</v>
      </c>
      <c r="DT9" s="53">
        <f>ROUND(2.236*SQRT(_TS18),1)</f>
        <v>60.2</v>
      </c>
      <c r="DU9" s="56"/>
      <c r="DV9" s="55" t="s">
        <v>214</v>
      </c>
      <c r="DW9" s="53">
        <f>ROUND(2.236*SQRT(DW8),1 )</f>
        <v>60.2</v>
      </c>
      <c r="DX9" s="56"/>
      <c r="DZ9" s="55" t="s">
        <v>213</v>
      </c>
      <c r="EA9" s="53">
        <f>ROUND(2.236*SQRT(_TS19),1)</f>
        <v>60.2</v>
      </c>
      <c r="EB9" s="56"/>
      <c r="EC9" s="55" t="s">
        <v>214</v>
      </c>
      <c r="ED9" s="53">
        <f>ROUND(2.236*SQRT(ED8),1 )</f>
        <v>60.2</v>
      </c>
      <c r="EE9" s="56"/>
      <c r="EG9" s="55" t="s">
        <v>213</v>
      </c>
      <c r="EH9" s="53">
        <f>ROUND(2.236*SQRT(_TS20),1)</f>
        <v>60.2</v>
      </c>
      <c r="EI9" s="56"/>
      <c r="EJ9" s="55" t="s">
        <v>214</v>
      </c>
      <c r="EK9" s="53">
        <f>ROUND(2.236*SQRT(EK8),1 )</f>
        <v>60.2</v>
      </c>
      <c r="EL9" s="56"/>
      <c r="EN9" s="55" t="s">
        <v>213</v>
      </c>
      <c r="EO9" s="53">
        <f>ROUND(2.236*SQRT(_TS21),1)</f>
        <v>60</v>
      </c>
      <c r="EP9" s="56"/>
      <c r="EQ9" s="55" t="s">
        <v>214</v>
      </c>
      <c r="ER9" s="53">
        <f>ROUND(2.236*SQRT(ER8),1 )</f>
        <v>60</v>
      </c>
      <c r="ES9" s="56"/>
      <c r="EU9" s="55" t="s">
        <v>213</v>
      </c>
      <c r="EV9" s="53">
        <f>ROUND(2.236*SQRT(_TS22),1)</f>
        <v>60</v>
      </c>
      <c r="EW9" s="56"/>
      <c r="EX9" s="55" t="s">
        <v>214</v>
      </c>
      <c r="EY9" s="53">
        <f>ROUND(2.236*SQRT(EY8),1 )</f>
        <v>60</v>
      </c>
      <c r="EZ9" s="56"/>
      <c r="FB9" s="55" t="s">
        <v>213</v>
      </c>
      <c r="FC9" s="53">
        <f>ROUND(2.236*SQRT(_TS23),1)</f>
        <v>60</v>
      </c>
      <c r="FD9" s="56"/>
      <c r="FE9" s="55" t="s">
        <v>214</v>
      </c>
      <c r="FF9" s="53">
        <f>ROUND(2.236*SQRT(FF8),1 )</f>
        <v>60</v>
      </c>
      <c r="FG9" s="56"/>
      <c r="FI9" s="55" t="s">
        <v>213</v>
      </c>
      <c r="FJ9" s="53">
        <f>ROUND(2.236*SQRT(_TS24),1)</f>
        <v>60</v>
      </c>
      <c r="FK9" s="56"/>
      <c r="FL9" s="55" t="s">
        <v>214</v>
      </c>
      <c r="FM9" s="53">
        <f>ROUND(2.236*SQRT(FM8),1 )</f>
        <v>60</v>
      </c>
      <c r="FN9" s="56"/>
      <c r="FP9" s="55" t="s">
        <v>213</v>
      </c>
      <c r="FQ9" s="53">
        <f>ROUND(2.236*SQRT(_TS25),1)</f>
        <v>60</v>
      </c>
      <c r="FR9" s="56"/>
      <c r="FS9" s="55" t="s">
        <v>214</v>
      </c>
      <c r="FT9" s="53">
        <f>ROUND(2.236*SQRT(FT8),1 )</f>
        <v>60</v>
      </c>
      <c r="FU9" s="56"/>
      <c r="FW9" s="55" t="s">
        <v>213</v>
      </c>
      <c r="FX9" s="53">
        <f>ROUND(2.236*SQRT(_TS26),1)</f>
        <v>60</v>
      </c>
      <c r="FY9" s="56"/>
      <c r="FZ9" s="55" t="s">
        <v>214</v>
      </c>
      <c r="GA9" s="53">
        <f>ROUND(2.236*SQRT(GA8),1 )</f>
        <v>60</v>
      </c>
      <c r="GB9" s="56"/>
      <c r="GD9" s="55" t="s">
        <v>213</v>
      </c>
      <c r="GE9" s="53">
        <f>ROUND(2.236*SQRT(_TS27),1)</f>
        <v>60</v>
      </c>
      <c r="GF9" s="56"/>
      <c r="GG9" s="55" t="s">
        <v>214</v>
      </c>
      <c r="GH9" s="53">
        <f>ROUND(2.236*SQRT(GH8),1 )</f>
        <v>60</v>
      </c>
      <c r="GI9" s="56"/>
      <c r="GK9" s="55" t="s">
        <v>213</v>
      </c>
      <c r="GL9" s="53">
        <f>ROUND(2.236*SQRT(_TS28),1)</f>
        <v>60</v>
      </c>
      <c r="GM9" s="56"/>
      <c r="GN9" s="55" t="s">
        <v>214</v>
      </c>
      <c r="GO9" s="53">
        <f>ROUND(2.236*SQRT(GO8),1 )</f>
        <v>60</v>
      </c>
      <c r="GP9" s="56"/>
      <c r="GR9" s="55" t="s">
        <v>213</v>
      </c>
      <c r="GS9" s="53">
        <f>ROUND(2.236*SQRT(_TS29),1)</f>
        <v>60</v>
      </c>
      <c r="GT9" s="56"/>
      <c r="GU9" s="55" t="s">
        <v>214</v>
      </c>
      <c r="GV9" s="53">
        <f>ROUND(2.236*SQRT(GV8),1 )</f>
        <v>60</v>
      </c>
      <c r="GW9" s="56"/>
      <c r="GY9" s="55" t="s">
        <v>213</v>
      </c>
      <c r="GZ9" s="53">
        <f>ROUND(2.236*SQRT(_TS30),1)</f>
        <v>60</v>
      </c>
      <c r="HA9" s="56"/>
      <c r="HB9" s="55" t="s">
        <v>214</v>
      </c>
      <c r="HC9" s="53">
        <f>ROUND(2.236*SQRT(HC8),1 )</f>
        <v>60</v>
      </c>
      <c r="HD9" s="56"/>
      <c r="HF9" s="55" t="s">
        <v>213</v>
      </c>
      <c r="HG9" s="53">
        <f>ROUND(2.236*SQRT(_TS31),1)</f>
        <v>60</v>
      </c>
      <c r="HH9" s="56"/>
      <c r="HI9" s="55" t="s">
        <v>214</v>
      </c>
      <c r="HJ9" s="53">
        <f>ROUND(2.236*SQRT(HJ8),1 )</f>
        <v>60</v>
      </c>
      <c r="HK9" s="56"/>
      <c r="HM9" s="55" t="s">
        <v>213</v>
      </c>
      <c r="HN9" s="53">
        <f>ROUND(2.236*SQRT(_TS32),1)</f>
        <v>60</v>
      </c>
      <c r="HO9" s="56"/>
      <c r="HP9" s="55" t="s">
        <v>214</v>
      </c>
      <c r="HQ9" s="53">
        <f>ROUND(2.236*SQRT(HQ8),1 )</f>
        <v>60</v>
      </c>
      <c r="HR9" s="56"/>
      <c r="HT9" s="55" t="s">
        <v>213</v>
      </c>
      <c r="HU9" s="53">
        <f>ROUND(2.236*SQRT(_TS33),1)</f>
        <v>60</v>
      </c>
      <c r="HV9" s="56"/>
      <c r="HW9" s="55" t="s">
        <v>214</v>
      </c>
      <c r="HX9" s="53">
        <f>ROUND(2.236*SQRT(HX8),1 )</f>
        <v>60</v>
      </c>
      <c r="HY9" s="56"/>
      <c r="IA9" s="55" t="s">
        <v>213</v>
      </c>
      <c r="IB9" s="53">
        <f>ROUND(2.236*SQRT(_TS34),1)</f>
        <v>60</v>
      </c>
      <c r="IC9" s="56"/>
      <c r="ID9" s="55" t="s">
        <v>214</v>
      </c>
      <c r="IE9" s="53">
        <f>ROUND(2.236*SQRT(IE8),1 )</f>
        <v>60</v>
      </c>
      <c r="IF9" s="56"/>
      <c r="IH9" s="55" t="s">
        <v>213</v>
      </c>
      <c r="II9" s="53">
        <f>ROUND(2.236*SQRT(_TS35),1)</f>
        <v>60</v>
      </c>
      <c r="IJ9" s="56"/>
      <c r="IK9" s="55" t="s">
        <v>214</v>
      </c>
      <c r="IL9" s="53">
        <f>ROUND(2.236*SQRT(IL8),1 )</f>
        <v>60</v>
      </c>
      <c r="IM9" s="56"/>
      <c r="IO9" s="55" t="s">
        <v>213</v>
      </c>
      <c r="IP9" s="53">
        <f>ROUND(2.236*SQRT(_TS36),1)</f>
        <v>60</v>
      </c>
      <c r="IQ9" s="56"/>
      <c r="IR9" s="55" t="s">
        <v>214</v>
      </c>
      <c r="IS9" s="53">
        <f>ROUND(2.236*SQRT(IS8),1 )</f>
        <v>60</v>
      </c>
      <c r="IT9" s="56"/>
    </row>
    <row r="10" spans="1:254" x14ac:dyDescent="0.2">
      <c r="D10" s="52" t="s">
        <v>215</v>
      </c>
      <c r="E10" s="57">
        <f>SUM(E13:E16)/_TS1</f>
        <v>0.13924050632911392</v>
      </c>
      <c r="F10" s="58" t="s">
        <v>216</v>
      </c>
      <c r="G10" s="52" t="s">
        <v>217</v>
      </c>
      <c r="H10" s="57">
        <f>SUM(H13:H16)/H8</f>
        <v>0.15306122448979592</v>
      </c>
      <c r="I10" s="58" t="s">
        <v>216</v>
      </c>
      <c r="K10" s="52" t="s">
        <v>215</v>
      </c>
      <c r="L10" s="57">
        <f>SUM(L13:L16)/_TS2</f>
        <v>0.14563106796116504</v>
      </c>
      <c r="M10" s="58" t="s">
        <v>216</v>
      </c>
      <c r="N10" s="52" t="s">
        <v>217</v>
      </c>
      <c r="O10" s="57">
        <f>SUM(O13:O16)/O8</f>
        <v>0.15841584158415842</v>
      </c>
      <c r="P10" s="58" t="s">
        <v>216</v>
      </c>
      <c r="R10" s="52" t="s">
        <v>215</v>
      </c>
      <c r="S10" s="57">
        <f>SUM(S13:S16)/_TS3</f>
        <v>0.1529850746268657</v>
      </c>
      <c r="T10" s="58" t="s">
        <v>216</v>
      </c>
      <c r="U10" s="52" t="s">
        <v>217</v>
      </c>
      <c r="V10" s="57">
        <f>SUM(V13:V16)/V8</f>
        <v>0.1753958587088916</v>
      </c>
      <c r="W10" s="58" t="s">
        <v>216</v>
      </c>
      <c r="Y10" s="52" t="s">
        <v>215</v>
      </c>
      <c r="Z10" s="57">
        <f>SUM(Z13:Z16)/_TS4</f>
        <v>0.33812949640287765</v>
      </c>
      <c r="AA10" s="58" t="s">
        <v>216</v>
      </c>
      <c r="AB10" s="52" t="s">
        <v>217</v>
      </c>
      <c r="AC10" s="57">
        <f>SUM(AC13:AC16)/AC8</f>
        <v>0.35622317596566527</v>
      </c>
      <c r="AD10" s="58" t="s">
        <v>216</v>
      </c>
      <c r="AF10" s="52" t="s">
        <v>215</v>
      </c>
      <c r="AG10" s="57">
        <f>SUM(AG13:AG16)/_TS5</f>
        <v>0.13924050632911392</v>
      </c>
      <c r="AH10" s="58" t="s">
        <v>216</v>
      </c>
      <c r="AI10" s="52" t="s">
        <v>217</v>
      </c>
      <c r="AJ10" s="57">
        <f>SUM(AJ13:AJ16)/AJ8</f>
        <v>0.15306122448979592</v>
      </c>
      <c r="AK10" s="58" t="s">
        <v>216</v>
      </c>
      <c r="AM10" s="52" t="s">
        <v>215</v>
      </c>
      <c r="AN10" s="57">
        <f>SUM(AN13:AN16)/_TS6</f>
        <v>0.14563106796116504</v>
      </c>
      <c r="AO10" s="58" t="s">
        <v>216</v>
      </c>
      <c r="AP10" s="52" t="s">
        <v>217</v>
      </c>
      <c r="AQ10" s="57">
        <f>SUM(AQ13:AQ16)/AQ8</f>
        <v>0.15841584158415845</v>
      </c>
      <c r="AR10" s="58" t="s">
        <v>216</v>
      </c>
      <c r="AT10" s="52" t="s">
        <v>215</v>
      </c>
      <c r="AU10" s="57">
        <f>SUM(AU13:AU16)/_TS7</f>
        <v>0.15298507462686567</v>
      </c>
      <c r="AV10" s="58" t="s">
        <v>216</v>
      </c>
      <c r="AW10" s="52" t="s">
        <v>217</v>
      </c>
      <c r="AX10" s="57">
        <f>SUM(AX13:AX16)/AX8</f>
        <v>0.1753958587088916</v>
      </c>
      <c r="AY10" s="58" t="s">
        <v>216</v>
      </c>
      <c r="BA10" s="52" t="s">
        <v>215</v>
      </c>
      <c r="BB10" s="57">
        <f>SUM(BB13:BB16)/_TS8</f>
        <v>0.33812949640287771</v>
      </c>
      <c r="BC10" s="58" t="s">
        <v>216</v>
      </c>
      <c r="BD10" s="52" t="s">
        <v>217</v>
      </c>
      <c r="BE10" s="57">
        <f>SUM(BE13:BE16)/BE8</f>
        <v>0.35622317596566522</v>
      </c>
      <c r="BF10" s="58" t="s">
        <v>216</v>
      </c>
      <c r="BH10" s="52" t="s">
        <v>215</v>
      </c>
      <c r="BI10" s="57">
        <f>SUM(BI13:BI16)/_TS9</f>
        <v>0.13924050632911392</v>
      </c>
      <c r="BJ10" s="58" t="s">
        <v>216</v>
      </c>
      <c r="BK10" s="52" t="s">
        <v>217</v>
      </c>
      <c r="BL10" s="57">
        <f>SUM(BL13:BL16)/BL8</f>
        <v>0.15306122448979592</v>
      </c>
      <c r="BM10" s="58" t="s">
        <v>216</v>
      </c>
      <c r="BO10" s="52" t="s">
        <v>215</v>
      </c>
      <c r="BP10" s="57">
        <f>SUM(BP13:BP16)/_TS10</f>
        <v>0.14563106796116507</v>
      </c>
      <c r="BQ10" s="58" t="s">
        <v>216</v>
      </c>
      <c r="BR10" s="52" t="s">
        <v>217</v>
      </c>
      <c r="BS10" s="57">
        <f>SUM(BS13:BS16)/BS8</f>
        <v>0.15841584158415842</v>
      </c>
      <c r="BT10" s="58" t="s">
        <v>216</v>
      </c>
      <c r="BV10" s="52" t="s">
        <v>215</v>
      </c>
      <c r="BW10" s="57">
        <f>SUM(BW13:BW16)/_TS11</f>
        <v>0.1529850746268657</v>
      </c>
      <c r="BX10" s="58" t="s">
        <v>216</v>
      </c>
      <c r="BY10" s="52" t="s">
        <v>217</v>
      </c>
      <c r="BZ10" s="57">
        <f>SUM(BZ13:BZ16)/BZ8</f>
        <v>0.17539585870889157</v>
      </c>
      <c r="CA10" s="58" t="s">
        <v>216</v>
      </c>
      <c r="CC10" s="52" t="s">
        <v>215</v>
      </c>
      <c r="CD10" s="57">
        <f>SUM(CD13:CD16)/_TS12</f>
        <v>0.33812949640287771</v>
      </c>
      <c r="CE10" s="58" t="s">
        <v>216</v>
      </c>
      <c r="CF10" s="52" t="s">
        <v>217</v>
      </c>
      <c r="CG10" s="57">
        <f>SUM(CG13:CG16)/CG8</f>
        <v>0.35622317596566516</v>
      </c>
      <c r="CH10" s="58" t="s">
        <v>216</v>
      </c>
      <c r="CJ10" s="52" t="s">
        <v>215</v>
      </c>
      <c r="CK10" s="57">
        <f>SUM(CK13:CK16)/_TS13</f>
        <v>0.15862068965517243</v>
      </c>
      <c r="CL10" s="58" t="s">
        <v>216</v>
      </c>
      <c r="CM10" s="52" t="s">
        <v>217</v>
      </c>
      <c r="CN10" s="57">
        <f>SUM(CN13:CN16)/CN8</f>
        <v>0.15862068965517243</v>
      </c>
      <c r="CO10" s="58" t="s">
        <v>216</v>
      </c>
      <c r="CQ10" s="52" t="s">
        <v>215</v>
      </c>
      <c r="CR10" s="57">
        <f>SUM(CR13:CR16)/_TS14</f>
        <v>0.15862068965517243</v>
      </c>
      <c r="CS10" s="58" t="s">
        <v>216</v>
      </c>
      <c r="CT10" s="52" t="s">
        <v>217</v>
      </c>
      <c r="CU10" s="57">
        <f>SUM(CU13:CU16)/CU8</f>
        <v>0.15862068965517243</v>
      </c>
      <c r="CV10" s="58" t="s">
        <v>216</v>
      </c>
      <c r="CX10" s="52" t="s">
        <v>215</v>
      </c>
      <c r="CY10" s="57">
        <f>SUM(CY13:CY16)/_TS15</f>
        <v>0.15862068965517243</v>
      </c>
      <c r="CZ10" s="58" t="s">
        <v>216</v>
      </c>
      <c r="DA10" s="52" t="s">
        <v>217</v>
      </c>
      <c r="DB10" s="57">
        <f>SUM(DB13:DB16)/DB8</f>
        <v>0.15862068965517243</v>
      </c>
      <c r="DC10" s="58" t="s">
        <v>216</v>
      </c>
      <c r="DE10" s="52" t="s">
        <v>215</v>
      </c>
      <c r="DF10" s="57">
        <f>SUM(DF13:DF16)/_TS16</f>
        <v>0.15862068965517243</v>
      </c>
      <c r="DG10" s="58" t="s">
        <v>216</v>
      </c>
      <c r="DH10" s="52" t="s">
        <v>217</v>
      </c>
      <c r="DI10" s="57">
        <f>SUM(DI13:DI16)/DI8</f>
        <v>0.15862068965517243</v>
      </c>
      <c r="DJ10" s="58" t="s">
        <v>216</v>
      </c>
      <c r="DL10" s="52" t="s">
        <v>215</v>
      </c>
      <c r="DM10" s="57">
        <f>SUM(DM13:DM16)/_TS17</f>
        <v>0.15862068965517243</v>
      </c>
      <c r="DN10" s="58" t="s">
        <v>216</v>
      </c>
      <c r="DO10" s="52" t="s">
        <v>217</v>
      </c>
      <c r="DP10" s="57">
        <f>SUM(DP13:DP16)/DP8</f>
        <v>0.15862068965517243</v>
      </c>
      <c r="DQ10" s="58" t="s">
        <v>216</v>
      </c>
      <c r="DS10" s="52" t="s">
        <v>215</v>
      </c>
      <c r="DT10" s="57">
        <f>SUM(DT13:DT16)/_TS18</f>
        <v>0.15862068965517243</v>
      </c>
      <c r="DU10" s="58" t="s">
        <v>216</v>
      </c>
      <c r="DV10" s="52" t="s">
        <v>217</v>
      </c>
      <c r="DW10" s="57">
        <f>SUM(DW13:DW16)/DW8</f>
        <v>0.15862068965517243</v>
      </c>
      <c r="DX10" s="58" t="s">
        <v>216</v>
      </c>
      <c r="DZ10" s="52" t="s">
        <v>215</v>
      </c>
      <c r="EA10" s="57">
        <f>SUM(EA13:EA16)/_TS19</f>
        <v>0.15862068965517243</v>
      </c>
      <c r="EB10" s="58" t="s">
        <v>216</v>
      </c>
      <c r="EC10" s="52" t="s">
        <v>217</v>
      </c>
      <c r="ED10" s="57">
        <f>SUM(ED13:ED16)/ED8</f>
        <v>0.15862068965517243</v>
      </c>
      <c r="EE10" s="58" t="s">
        <v>216</v>
      </c>
      <c r="EG10" s="52" t="s">
        <v>215</v>
      </c>
      <c r="EH10" s="57">
        <f>SUM(EH13:EH16)/_TS20</f>
        <v>0.15862068965517243</v>
      </c>
      <c r="EI10" s="58" t="s">
        <v>216</v>
      </c>
      <c r="EJ10" s="52" t="s">
        <v>217</v>
      </c>
      <c r="EK10" s="57">
        <f>SUM(EK13:EK16)/EK8</f>
        <v>0.15862068965517243</v>
      </c>
      <c r="EL10" s="58" t="s">
        <v>216</v>
      </c>
      <c r="EN10" s="52" t="s">
        <v>215</v>
      </c>
      <c r="EO10" s="57">
        <f>SUM(EO13:EO16)/_TS21</f>
        <v>0.15277777777777779</v>
      </c>
      <c r="EP10" s="58" t="s">
        <v>216</v>
      </c>
      <c r="EQ10" s="52" t="s">
        <v>217</v>
      </c>
      <c r="ER10" s="57">
        <f>SUM(ER13:ER16)/ER8</f>
        <v>0.15277777777777779</v>
      </c>
      <c r="ES10" s="58" t="s">
        <v>216</v>
      </c>
      <c r="EU10" s="52" t="s">
        <v>215</v>
      </c>
      <c r="EV10" s="57">
        <f>SUM(EV13:EV16)/_TS22</f>
        <v>0.15277777777777779</v>
      </c>
      <c r="EW10" s="58" t="s">
        <v>216</v>
      </c>
      <c r="EX10" s="52" t="s">
        <v>217</v>
      </c>
      <c r="EY10" s="57">
        <f>SUM(EY13:EY16)/EY8</f>
        <v>0.15277777777777779</v>
      </c>
      <c r="EZ10" s="58" t="s">
        <v>216</v>
      </c>
      <c r="FB10" s="52" t="s">
        <v>215</v>
      </c>
      <c r="FC10" s="57">
        <f>SUM(FC13:FC16)/_TS23</f>
        <v>0.15277777777777779</v>
      </c>
      <c r="FD10" s="58" t="s">
        <v>216</v>
      </c>
      <c r="FE10" s="52" t="s">
        <v>217</v>
      </c>
      <c r="FF10" s="57">
        <f>SUM(FF13:FF16)/FF8</f>
        <v>0.15277777777777779</v>
      </c>
      <c r="FG10" s="58" t="s">
        <v>216</v>
      </c>
      <c r="FI10" s="52" t="s">
        <v>215</v>
      </c>
      <c r="FJ10" s="57">
        <f>SUM(FJ13:FJ16)/_TS24</f>
        <v>0.15277777777777779</v>
      </c>
      <c r="FK10" s="58" t="s">
        <v>216</v>
      </c>
      <c r="FL10" s="52" t="s">
        <v>217</v>
      </c>
      <c r="FM10" s="57">
        <f>SUM(FM13:FM16)/FM8</f>
        <v>0.15277777777777779</v>
      </c>
      <c r="FN10" s="58" t="s">
        <v>216</v>
      </c>
      <c r="FP10" s="52" t="s">
        <v>215</v>
      </c>
      <c r="FQ10" s="57">
        <f>SUM(FQ13:FQ16)/_TS25</f>
        <v>0.15277777777777779</v>
      </c>
      <c r="FR10" s="58" t="s">
        <v>216</v>
      </c>
      <c r="FS10" s="52" t="s">
        <v>217</v>
      </c>
      <c r="FT10" s="57">
        <f>SUM(FT13:FT16)/FT8</f>
        <v>0.15277777777777779</v>
      </c>
      <c r="FU10" s="58" t="s">
        <v>216</v>
      </c>
      <c r="FW10" s="52" t="s">
        <v>215</v>
      </c>
      <c r="FX10" s="57">
        <f>SUM(FX13:FX16)/_TS26</f>
        <v>0.15277777777777779</v>
      </c>
      <c r="FY10" s="58" t="s">
        <v>216</v>
      </c>
      <c r="FZ10" s="52" t="s">
        <v>217</v>
      </c>
      <c r="GA10" s="57">
        <f>SUM(GA13:GA16)/GA8</f>
        <v>0.15277777777777779</v>
      </c>
      <c r="GB10" s="58" t="s">
        <v>216</v>
      </c>
      <c r="GD10" s="52" t="s">
        <v>215</v>
      </c>
      <c r="GE10" s="57">
        <f>SUM(GE13:GE16)/_TS27</f>
        <v>0.15277777777777779</v>
      </c>
      <c r="GF10" s="58" t="s">
        <v>216</v>
      </c>
      <c r="GG10" s="52" t="s">
        <v>217</v>
      </c>
      <c r="GH10" s="57">
        <f>SUM(GH13:GH16)/GH8</f>
        <v>0.15277777777777779</v>
      </c>
      <c r="GI10" s="58" t="s">
        <v>216</v>
      </c>
      <c r="GK10" s="52" t="s">
        <v>215</v>
      </c>
      <c r="GL10" s="57">
        <f>SUM(GL13:GL16)/_TS28</f>
        <v>0.15277777777777779</v>
      </c>
      <c r="GM10" s="58" t="s">
        <v>216</v>
      </c>
      <c r="GN10" s="52" t="s">
        <v>217</v>
      </c>
      <c r="GO10" s="57">
        <f>SUM(GO13:GO16)/GO8</f>
        <v>0.15277777777777779</v>
      </c>
      <c r="GP10" s="58" t="s">
        <v>216</v>
      </c>
      <c r="GR10" s="52" t="s">
        <v>215</v>
      </c>
      <c r="GS10" s="57">
        <f>SUM(GS13:GS16)/_TS29</f>
        <v>0.15277777777777779</v>
      </c>
      <c r="GT10" s="58" t="s">
        <v>216</v>
      </c>
      <c r="GU10" s="52" t="s">
        <v>217</v>
      </c>
      <c r="GV10" s="57">
        <f>SUM(GV13:GV16)/GV8</f>
        <v>0.15277777777777779</v>
      </c>
      <c r="GW10" s="58" t="s">
        <v>216</v>
      </c>
      <c r="GY10" s="52" t="s">
        <v>215</v>
      </c>
      <c r="GZ10" s="57">
        <f>SUM(GZ13:GZ16)/_TS30</f>
        <v>0.15277777777777779</v>
      </c>
      <c r="HA10" s="58" t="s">
        <v>216</v>
      </c>
      <c r="HB10" s="52" t="s">
        <v>217</v>
      </c>
      <c r="HC10" s="57">
        <f>SUM(HC13:HC16)/HC8</f>
        <v>0.15277777777777779</v>
      </c>
      <c r="HD10" s="58" t="s">
        <v>216</v>
      </c>
      <c r="HF10" s="52" t="s">
        <v>215</v>
      </c>
      <c r="HG10" s="57">
        <f>SUM(HG13:HG16)/_TS31</f>
        <v>0.15277777777777779</v>
      </c>
      <c r="HH10" s="58" t="s">
        <v>216</v>
      </c>
      <c r="HI10" s="52" t="s">
        <v>217</v>
      </c>
      <c r="HJ10" s="57">
        <f>SUM(HJ13:HJ16)/HJ8</f>
        <v>0.15277777777777779</v>
      </c>
      <c r="HK10" s="58" t="s">
        <v>216</v>
      </c>
      <c r="HM10" s="52" t="s">
        <v>215</v>
      </c>
      <c r="HN10" s="57">
        <f>SUM(HN13:HN16)/_TS32</f>
        <v>0.15277777777777779</v>
      </c>
      <c r="HO10" s="58" t="s">
        <v>216</v>
      </c>
      <c r="HP10" s="52" t="s">
        <v>217</v>
      </c>
      <c r="HQ10" s="57">
        <f>SUM(HQ13:HQ16)/HQ8</f>
        <v>0.15277777777777779</v>
      </c>
      <c r="HR10" s="58" t="s">
        <v>216</v>
      </c>
      <c r="HT10" s="52" t="s">
        <v>215</v>
      </c>
      <c r="HU10" s="57">
        <f>SUM(HU13:HU16)/_TS33</f>
        <v>0.15277777777777779</v>
      </c>
      <c r="HV10" s="58" t="s">
        <v>216</v>
      </c>
      <c r="HW10" s="52" t="s">
        <v>217</v>
      </c>
      <c r="HX10" s="57">
        <f>SUM(HX13:HX16)/HX8</f>
        <v>0.15277777777777779</v>
      </c>
      <c r="HY10" s="58" t="s">
        <v>216</v>
      </c>
      <c r="IA10" s="52" t="s">
        <v>215</v>
      </c>
      <c r="IB10" s="57">
        <f>SUM(IB13:IB16)/_TS34</f>
        <v>0.15277777777777779</v>
      </c>
      <c r="IC10" s="58" t="s">
        <v>216</v>
      </c>
      <c r="ID10" s="52" t="s">
        <v>217</v>
      </c>
      <c r="IE10" s="57">
        <f>SUM(IE13:IE16)/IE8</f>
        <v>0.15277777777777779</v>
      </c>
      <c r="IF10" s="58" t="s">
        <v>216</v>
      </c>
      <c r="IH10" s="52" t="s">
        <v>215</v>
      </c>
      <c r="II10" s="57">
        <f>SUM(II13:II16)/_TS35</f>
        <v>0.15277777777777779</v>
      </c>
      <c r="IJ10" s="58" t="s">
        <v>216</v>
      </c>
      <c r="IK10" s="52" t="s">
        <v>217</v>
      </c>
      <c r="IL10" s="57">
        <f>SUM(IL13:IL16)/IL8</f>
        <v>0.15277777777777779</v>
      </c>
      <c r="IM10" s="58" t="s">
        <v>216</v>
      </c>
      <c r="IO10" s="52" t="s">
        <v>215</v>
      </c>
      <c r="IP10" s="57">
        <f>SUM(IP13:IP16)/_TS36</f>
        <v>0.15277777777777779</v>
      </c>
      <c r="IQ10" s="58" t="s">
        <v>216</v>
      </c>
      <c r="IR10" s="52" t="s">
        <v>217</v>
      </c>
      <c r="IS10" s="57">
        <f>SUM(IS13:IS16)/IS8</f>
        <v>0.15277777777777779</v>
      </c>
      <c r="IT10" s="58" t="s">
        <v>216</v>
      </c>
    </row>
    <row r="11" spans="1:254" x14ac:dyDescent="0.2">
      <c r="D11" s="52" t="s">
        <v>57</v>
      </c>
      <c r="E11" s="24">
        <f>TRFdata!C8</f>
        <v>65</v>
      </c>
      <c r="F11" s="59">
        <f t="shared" ref="F11:F16" si="0">E11/_TS1</f>
        <v>0.82278481012658233</v>
      </c>
      <c r="G11" s="52" t="s">
        <v>66</v>
      </c>
      <c r="H11" s="24">
        <f>TRFdata!C19</f>
        <v>77</v>
      </c>
      <c r="I11" s="60">
        <f t="shared" ref="I11:I16" si="1">H11/$H$8</f>
        <v>0.7857142857142857</v>
      </c>
      <c r="K11" s="52" t="s">
        <v>57</v>
      </c>
      <c r="L11" s="24">
        <f>TRFdata!D8</f>
        <v>84</v>
      </c>
      <c r="M11" s="59">
        <f t="shared" ref="M11:M16" si="2">L11/_TS2</f>
        <v>0.81553398058252424</v>
      </c>
      <c r="N11" s="52" t="s">
        <v>66</v>
      </c>
      <c r="O11" s="24">
        <f>TRFdata!D19</f>
        <v>79</v>
      </c>
      <c r="P11" s="60">
        <f t="shared" ref="P11:P16" si="3">O11/$O$8</f>
        <v>0.78217821782178221</v>
      </c>
      <c r="R11" s="52" t="s">
        <v>57</v>
      </c>
      <c r="S11" s="24">
        <f>TRFdata!E8</f>
        <v>62.8</v>
      </c>
      <c r="T11" s="59">
        <f t="shared" ref="T11:T16" si="4">S11/_TS3</f>
        <v>0.78109452736318408</v>
      </c>
      <c r="U11" s="52" t="s">
        <v>66</v>
      </c>
      <c r="V11" s="24">
        <f>TRFdata!E19</f>
        <v>62.7</v>
      </c>
      <c r="W11" s="60">
        <f t="shared" ref="W11:W16" si="5">V11/$V$8</f>
        <v>0.76370280146163216</v>
      </c>
      <c r="Y11" s="52" t="s">
        <v>57</v>
      </c>
      <c r="Z11" s="24">
        <f>TRFdata!F8</f>
        <v>14.75</v>
      </c>
      <c r="AA11" s="59">
        <f t="shared" ref="AA11:AA16" si="6">Z11/_TS4</f>
        <v>0.63669064748201432</v>
      </c>
      <c r="AB11" s="52" t="s">
        <v>66</v>
      </c>
      <c r="AC11" s="24">
        <f>TRFdata!F19</f>
        <v>11.916666666666666</v>
      </c>
      <c r="AD11" s="60">
        <f t="shared" ref="AD11:AD16" si="7">AC11/$AC$8</f>
        <v>0.61373390557939922</v>
      </c>
      <c r="AF11" s="52" t="s">
        <v>57</v>
      </c>
      <c r="AG11" s="24">
        <f>TRFdata!G8</f>
        <v>79.625</v>
      </c>
      <c r="AH11" s="59">
        <f t="shared" ref="AH11:AH16" si="8">AG11/_TS5</f>
        <v>0.82278481012658222</v>
      </c>
      <c r="AI11" s="52" t="s">
        <v>66</v>
      </c>
      <c r="AJ11" s="24">
        <f>TRFdata!G19</f>
        <v>94.325000000000003</v>
      </c>
      <c r="AK11" s="60">
        <f t="shared" ref="AK11:AK16" si="9">AJ11/$AJ$8</f>
        <v>0.78571428571428581</v>
      </c>
      <c r="AM11" s="52" t="s">
        <v>57</v>
      </c>
      <c r="AN11" s="24">
        <f>TRFdata!H8</f>
        <v>102.9</v>
      </c>
      <c r="AO11" s="59">
        <f t="shared" ref="AO11:AO16" si="10">AN11/_TS6</f>
        <v>0.81553398058252424</v>
      </c>
      <c r="AP11" s="52" t="s">
        <v>66</v>
      </c>
      <c r="AQ11" s="24">
        <f>TRFdata!H19</f>
        <v>96.775000000000006</v>
      </c>
      <c r="AR11" s="60">
        <f t="shared" ref="AR11:AR16" si="11">AQ11/$AQ$8</f>
        <v>0.78217821782178221</v>
      </c>
      <c r="AT11" s="52" t="s">
        <v>57</v>
      </c>
      <c r="AU11" s="24">
        <f>TRFdata!I8</f>
        <v>76.930000000000007</v>
      </c>
      <c r="AV11" s="59">
        <f t="shared" ref="AV11:AV16" si="12">AU11/_TS7</f>
        <v>0.78109452736318408</v>
      </c>
      <c r="AW11" s="52" t="s">
        <v>66</v>
      </c>
      <c r="AX11" s="24">
        <f>TRFdata!I19</f>
        <v>76.807500000000005</v>
      </c>
      <c r="AY11" s="60">
        <f t="shared" ref="AY11:AY16" si="13">AX11/$AX$8</f>
        <v>0.76370280146163216</v>
      </c>
      <c r="BA11" s="52" t="s">
        <v>57</v>
      </c>
      <c r="BB11" s="24">
        <f>TRFdata!J8</f>
        <v>18.068750000000001</v>
      </c>
      <c r="BC11" s="59">
        <f t="shared" ref="BC11:BC16" si="14">BB11/_TS8</f>
        <v>0.63669064748201443</v>
      </c>
      <c r="BD11" s="52" t="s">
        <v>66</v>
      </c>
      <c r="BE11" s="24">
        <f>TRFdata!J19</f>
        <v>14.597916666666666</v>
      </c>
      <c r="BF11" s="60">
        <f t="shared" ref="BF11:BF16" si="15">BE11/$BE$8</f>
        <v>0.61373390557939911</v>
      </c>
      <c r="BH11" s="52" t="s">
        <v>57</v>
      </c>
      <c r="BI11" s="24">
        <f>TRFdata!K8</f>
        <v>94.25</v>
      </c>
      <c r="BJ11" s="59">
        <f t="shared" ref="BJ11:BJ16" si="16">BI11/_TS9</f>
        <v>0.82278481012658233</v>
      </c>
      <c r="BK11" s="52" t="s">
        <v>66</v>
      </c>
      <c r="BL11" s="24">
        <f>TRFdata!K19</f>
        <v>111.64999999999999</v>
      </c>
      <c r="BM11" s="60">
        <f t="shared" ref="BM11:BM16" si="17">BL11/$BL$8</f>
        <v>0.7857142857142857</v>
      </c>
      <c r="BO11" s="52" t="s">
        <v>57</v>
      </c>
      <c r="BP11" s="24">
        <f>TRFdata!L8</f>
        <v>121.8</v>
      </c>
      <c r="BQ11" s="59">
        <f t="shared" ref="BQ11:BQ16" si="18">BP11/_TS10</f>
        <v>0.81553398058252424</v>
      </c>
      <c r="BR11" s="52" t="s">
        <v>66</v>
      </c>
      <c r="BS11" s="24">
        <f>TRFdata!L19</f>
        <v>114.55</v>
      </c>
      <c r="BT11" s="60">
        <f t="shared" ref="BT11:BT16" si="19">BS11/$BS$8</f>
        <v>0.78217821782178221</v>
      </c>
      <c r="BV11" s="52" t="s">
        <v>57</v>
      </c>
      <c r="BW11" s="24">
        <f>TRFdata!M8</f>
        <v>91.059999999999988</v>
      </c>
      <c r="BX11" s="59">
        <f t="shared" ref="BX11:BX16" si="20">BW11/_TS11</f>
        <v>0.78109452736318408</v>
      </c>
      <c r="BY11" s="52" t="s">
        <v>66</v>
      </c>
      <c r="BZ11" s="24">
        <f>TRFdata!M19</f>
        <v>90.915000000000006</v>
      </c>
      <c r="CA11" s="60">
        <f t="shared" ref="CA11:CA16" si="21">BZ11/$BZ$8</f>
        <v>0.76370280146163216</v>
      </c>
      <c r="CC11" s="52" t="s">
        <v>57</v>
      </c>
      <c r="CD11" s="24">
        <f>TRFdata!N8</f>
        <v>21.387499999999999</v>
      </c>
      <c r="CE11" s="59">
        <f t="shared" ref="CE11:CE16" si="22">CD11/_TS12</f>
        <v>0.63669064748201432</v>
      </c>
      <c r="CF11" s="52" t="s">
        <v>66</v>
      </c>
      <c r="CG11" s="24">
        <f>TRFdata!N19</f>
        <v>17.279166666666665</v>
      </c>
      <c r="CH11" s="60">
        <f t="shared" ref="CH11:CH16" si="23">CG11/$CG$8</f>
        <v>0.613733905579399</v>
      </c>
      <c r="CJ11" s="52" t="s">
        <v>57</v>
      </c>
      <c r="CK11" s="24">
        <v>580</v>
      </c>
      <c r="CL11" s="59">
        <f t="shared" ref="CL11:CL16" si="24">CK11/_TS13</f>
        <v>0.8</v>
      </c>
      <c r="CM11" s="52" t="s">
        <v>66</v>
      </c>
      <c r="CN11" s="24">
        <v>580</v>
      </c>
      <c r="CO11" s="60">
        <f t="shared" ref="CO11:CO16" si="25">CN11/$CN$8</f>
        <v>0.8</v>
      </c>
      <c r="CQ11" s="52" t="s">
        <v>57</v>
      </c>
      <c r="CR11" s="24">
        <v>580</v>
      </c>
      <c r="CS11" s="59">
        <f t="shared" ref="CS11:CS16" si="26">CR11/_TS14</f>
        <v>0.8</v>
      </c>
      <c r="CT11" s="52" t="s">
        <v>66</v>
      </c>
      <c r="CU11" s="24">
        <v>580</v>
      </c>
      <c r="CV11" s="60">
        <f t="shared" ref="CV11:CV16" si="27">CU11/$CU$8</f>
        <v>0.8</v>
      </c>
      <c r="CX11" s="52" t="s">
        <v>57</v>
      </c>
      <c r="CY11" s="24">
        <v>580</v>
      </c>
      <c r="CZ11" s="59">
        <f t="shared" ref="CZ11:CZ16" si="28">CY11/_TS15</f>
        <v>0.8</v>
      </c>
      <c r="DA11" s="52" t="s">
        <v>66</v>
      </c>
      <c r="DB11" s="24">
        <v>580</v>
      </c>
      <c r="DC11" s="60">
        <f t="shared" ref="DC11:DC16" si="29">DB11/$DB$8</f>
        <v>0.8</v>
      </c>
      <c r="DE11" s="52" t="s">
        <v>57</v>
      </c>
      <c r="DF11" s="24">
        <v>580</v>
      </c>
      <c r="DG11" s="59">
        <f t="shared" ref="DG11:DG16" si="30">DF11/_TS16</f>
        <v>0.8</v>
      </c>
      <c r="DH11" s="52" t="s">
        <v>66</v>
      </c>
      <c r="DI11" s="24">
        <v>580</v>
      </c>
      <c r="DJ11" s="60">
        <f t="shared" ref="DJ11:DJ16" si="31">DI11/$DI$8</f>
        <v>0.8</v>
      </c>
      <c r="DL11" s="52" t="s">
        <v>57</v>
      </c>
      <c r="DM11" s="24">
        <v>580</v>
      </c>
      <c r="DN11" s="59">
        <f t="shared" ref="DN11:DN16" si="32">DM11/_TS17</f>
        <v>0.8</v>
      </c>
      <c r="DO11" s="52" t="s">
        <v>66</v>
      </c>
      <c r="DP11" s="24">
        <v>580</v>
      </c>
      <c r="DQ11" s="60">
        <f t="shared" ref="DQ11:DQ16" si="33">DP11/$DP$8</f>
        <v>0.8</v>
      </c>
      <c r="DS11" s="52" t="s">
        <v>57</v>
      </c>
      <c r="DT11" s="24">
        <v>580</v>
      </c>
      <c r="DU11" s="59">
        <f t="shared" ref="DU11:DU16" si="34">DT11/_TS18</f>
        <v>0.8</v>
      </c>
      <c r="DV11" s="52" t="s">
        <v>66</v>
      </c>
      <c r="DW11" s="24">
        <v>580</v>
      </c>
      <c r="DX11" s="60">
        <f t="shared" ref="DX11:DX16" si="35">DW11/$DW$8</f>
        <v>0.8</v>
      </c>
      <c r="DZ11" s="52" t="s">
        <v>57</v>
      </c>
      <c r="EA11" s="24">
        <v>580</v>
      </c>
      <c r="EB11" s="59">
        <f t="shared" ref="EB11:EB16" si="36">EA11/_TS19</f>
        <v>0.8</v>
      </c>
      <c r="EC11" s="52" t="s">
        <v>66</v>
      </c>
      <c r="ED11" s="24">
        <v>580</v>
      </c>
      <c r="EE11" s="60">
        <f t="shared" ref="EE11:EE16" si="37">ED11/$ED$8</f>
        <v>0.8</v>
      </c>
      <c r="EG11" s="52" t="s">
        <v>57</v>
      </c>
      <c r="EH11" s="24">
        <v>580</v>
      </c>
      <c r="EI11" s="59">
        <f t="shared" ref="EI11:EI16" si="38">EH11/_TS20</f>
        <v>0.8</v>
      </c>
      <c r="EJ11" s="52" t="s">
        <v>66</v>
      </c>
      <c r="EK11" s="24">
        <v>580</v>
      </c>
      <c r="EL11" s="60">
        <f t="shared" ref="EL11:EL16" si="39">EK11/$EK$8</f>
        <v>0.8</v>
      </c>
      <c r="EN11" s="52" t="s">
        <v>57</v>
      </c>
      <c r="EO11" s="24">
        <v>580</v>
      </c>
      <c r="EP11" s="59">
        <f t="shared" ref="EP11:EP16" si="40">EO11/_TS21</f>
        <v>0.80555555555555558</v>
      </c>
      <c r="EQ11" s="52" t="s">
        <v>66</v>
      </c>
      <c r="ER11" s="24">
        <v>580</v>
      </c>
      <c r="ES11" s="60">
        <f t="shared" ref="ES11:ES16" si="41">ER11/ER$8</f>
        <v>0.80555555555555558</v>
      </c>
      <c r="EU11" s="52" t="s">
        <v>57</v>
      </c>
      <c r="EV11" s="24">
        <v>580</v>
      </c>
      <c r="EW11" s="59">
        <f t="shared" ref="EW11:EW16" si="42">EV11/_TS22</f>
        <v>0.80555555555555558</v>
      </c>
      <c r="EX11" s="52" t="s">
        <v>66</v>
      </c>
      <c r="EY11" s="24">
        <v>580</v>
      </c>
      <c r="EZ11" s="60">
        <f t="shared" ref="EZ11:EZ16" si="43">EY11/EY$8</f>
        <v>0.80555555555555558</v>
      </c>
      <c r="FB11" s="52" t="s">
        <v>57</v>
      </c>
      <c r="FC11" s="24">
        <v>580</v>
      </c>
      <c r="FD11" s="59">
        <f t="shared" ref="FD11:FD16" si="44">FC11/_TS23</f>
        <v>0.80555555555555558</v>
      </c>
      <c r="FE11" s="52" t="s">
        <v>66</v>
      </c>
      <c r="FF11" s="24">
        <v>580</v>
      </c>
      <c r="FG11" s="60">
        <f t="shared" ref="FG11:FG16" si="45">FF11/FF$8</f>
        <v>0.80555555555555558</v>
      </c>
      <c r="FI11" s="52" t="s">
        <v>57</v>
      </c>
      <c r="FJ11" s="24">
        <v>580</v>
      </c>
      <c r="FK11" s="59">
        <f t="shared" ref="FK11:FK16" si="46">FJ11/_TS24</f>
        <v>0.80555555555555558</v>
      </c>
      <c r="FL11" s="52" t="s">
        <v>66</v>
      </c>
      <c r="FM11" s="24">
        <v>580</v>
      </c>
      <c r="FN11" s="60">
        <f t="shared" ref="FN11:FN16" si="47">FM11/FM$8</f>
        <v>0.80555555555555558</v>
      </c>
      <c r="FP11" s="52" t="s">
        <v>57</v>
      </c>
      <c r="FQ11" s="24">
        <v>580</v>
      </c>
      <c r="FR11" s="59">
        <f t="shared" ref="FR11:FR16" si="48">FQ11/_TS25</f>
        <v>0.80555555555555558</v>
      </c>
      <c r="FS11" s="52" t="s">
        <v>66</v>
      </c>
      <c r="FT11" s="24">
        <v>580</v>
      </c>
      <c r="FU11" s="60">
        <f t="shared" ref="FU11:FU16" si="49">FT11/FT$8</f>
        <v>0.80555555555555558</v>
      </c>
      <c r="FW11" s="52" t="s">
        <v>57</v>
      </c>
      <c r="FX11" s="24">
        <v>580</v>
      </c>
      <c r="FY11" s="59">
        <f t="shared" ref="FY11:FY16" si="50">FX11/_TS26</f>
        <v>0.80555555555555558</v>
      </c>
      <c r="FZ11" s="52" t="s">
        <v>66</v>
      </c>
      <c r="GA11" s="24">
        <v>580</v>
      </c>
      <c r="GB11" s="60">
        <f t="shared" ref="GB11:GB16" si="51">GA11/GA$8</f>
        <v>0.80555555555555558</v>
      </c>
      <c r="GD11" s="52" t="s">
        <v>57</v>
      </c>
      <c r="GE11" s="24">
        <v>580</v>
      </c>
      <c r="GF11" s="59">
        <f t="shared" ref="GF11:GF16" si="52">GE11/_TS27</f>
        <v>0.80555555555555558</v>
      </c>
      <c r="GG11" s="52" t="s">
        <v>66</v>
      </c>
      <c r="GH11" s="24">
        <v>580</v>
      </c>
      <c r="GI11" s="60">
        <f t="shared" ref="GI11:GI16" si="53">GH11/GH$8</f>
        <v>0.80555555555555558</v>
      </c>
      <c r="GK11" s="52" t="s">
        <v>57</v>
      </c>
      <c r="GL11" s="24">
        <v>580</v>
      </c>
      <c r="GM11" s="59">
        <f t="shared" ref="GM11:GM16" si="54">GL11/_TS28</f>
        <v>0.80555555555555558</v>
      </c>
      <c r="GN11" s="52" t="s">
        <v>66</v>
      </c>
      <c r="GO11" s="24">
        <v>580</v>
      </c>
      <c r="GP11" s="60">
        <f t="shared" ref="GP11:GP16" si="55">GO11/GO$8</f>
        <v>0.80555555555555558</v>
      </c>
      <c r="GR11" s="52" t="s">
        <v>57</v>
      </c>
      <c r="GS11" s="24">
        <v>580</v>
      </c>
      <c r="GT11" s="59">
        <f t="shared" ref="GT11:GT16" si="56">GS11/_TS29</f>
        <v>0.80555555555555558</v>
      </c>
      <c r="GU11" s="52" t="s">
        <v>66</v>
      </c>
      <c r="GV11" s="24">
        <v>580</v>
      </c>
      <c r="GW11" s="60">
        <f t="shared" ref="GW11:GW16" si="57">GV11/GV$8</f>
        <v>0.80555555555555558</v>
      </c>
      <c r="GY11" s="52" t="s">
        <v>57</v>
      </c>
      <c r="GZ11" s="24">
        <v>580</v>
      </c>
      <c r="HA11" s="59">
        <f t="shared" ref="HA11:HA16" si="58">GZ11/_TS30</f>
        <v>0.80555555555555558</v>
      </c>
      <c r="HB11" s="52" t="s">
        <v>66</v>
      </c>
      <c r="HC11" s="24">
        <v>580</v>
      </c>
      <c r="HD11" s="60">
        <f t="shared" ref="HD11:HD16" si="59">HC11/HC$8</f>
        <v>0.80555555555555558</v>
      </c>
      <c r="HF11" s="52" t="s">
        <v>57</v>
      </c>
      <c r="HG11" s="24">
        <v>580</v>
      </c>
      <c r="HH11" s="59">
        <f t="shared" ref="HH11:HH16" si="60">HG11/_TS31</f>
        <v>0.80555555555555558</v>
      </c>
      <c r="HI11" s="52" t="s">
        <v>66</v>
      </c>
      <c r="HJ11" s="24">
        <v>580</v>
      </c>
      <c r="HK11" s="60">
        <f t="shared" ref="HK11:HK16" si="61">HJ11/HJ$8</f>
        <v>0.80555555555555558</v>
      </c>
      <c r="HM11" s="52" t="s">
        <v>57</v>
      </c>
      <c r="HN11" s="24">
        <v>580</v>
      </c>
      <c r="HO11" s="59">
        <f t="shared" ref="HO11:HO16" si="62">HN11/_TS32</f>
        <v>0.80555555555555558</v>
      </c>
      <c r="HP11" s="52" t="s">
        <v>66</v>
      </c>
      <c r="HQ11" s="24">
        <v>580</v>
      </c>
      <c r="HR11" s="60">
        <f t="shared" ref="HR11:HR16" si="63">HQ11/HQ$8</f>
        <v>0.80555555555555558</v>
      </c>
      <c r="HT11" s="52" t="s">
        <v>57</v>
      </c>
      <c r="HU11" s="24">
        <v>580</v>
      </c>
      <c r="HV11" s="59">
        <f t="shared" ref="HV11:HV16" si="64">HU11/_TS33</f>
        <v>0.80555555555555558</v>
      </c>
      <c r="HW11" s="52" t="s">
        <v>66</v>
      </c>
      <c r="HX11" s="24">
        <v>580</v>
      </c>
      <c r="HY11" s="60">
        <f t="shared" ref="HY11:HY16" si="65">HX11/HX$8</f>
        <v>0.80555555555555558</v>
      </c>
      <c r="IA11" s="52" t="s">
        <v>57</v>
      </c>
      <c r="IB11" s="24">
        <v>580</v>
      </c>
      <c r="IC11" s="59">
        <f t="shared" ref="IC11:IC16" si="66">IB11/_TS34</f>
        <v>0.80555555555555558</v>
      </c>
      <c r="ID11" s="52" t="s">
        <v>66</v>
      </c>
      <c r="IE11" s="24">
        <v>580</v>
      </c>
      <c r="IF11" s="60">
        <f t="shared" ref="IF11:IF16" si="67">IE11/IE$8</f>
        <v>0.80555555555555558</v>
      </c>
      <c r="IH11" s="52" t="s">
        <v>57</v>
      </c>
      <c r="II11" s="24">
        <v>580</v>
      </c>
      <c r="IJ11" s="59">
        <f t="shared" ref="IJ11:IJ16" si="68">II11/_TS35</f>
        <v>0.80555555555555558</v>
      </c>
      <c r="IK11" s="52" t="s">
        <v>66</v>
      </c>
      <c r="IL11" s="24">
        <v>580</v>
      </c>
      <c r="IM11" s="60">
        <f t="shared" ref="IM11:IM16" si="69">IL11/IL$8</f>
        <v>0.80555555555555558</v>
      </c>
      <c r="IO11" s="52" t="s">
        <v>57</v>
      </c>
      <c r="IP11" s="24">
        <v>580</v>
      </c>
      <c r="IQ11" s="59">
        <f t="shared" ref="IQ11:IQ16" si="70">IP11/_TS36</f>
        <v>0.80555555555555558</v>
      </c>
      <c r="IR11" s="52" t="s">
        <v>66</v>
      </c>
      <c r="IS11" s="24">
        <v>580</v>
      </c>
      <c r="IT11" s="60">
        <f t="shared" ref="IT11:IT16" si="71">IS11/IS$8</f>
        <v>0.80555555555555558</v>
      </c>
    </row>
    <row r="12" spans="1:254" x14ac:dyDescent="0.2">
      <c r="D12" s="61" t="s">
        <v>58</v>
      </c>
      <c r="E12" s="24">
        <f>TRFdata!C9</f>
        <v>3</v>
      </c>
      <c r="F12" s="59">
        <f t="shared" si="0"/>
        <v>3.7974683544303799E-2</v>
      </c>
      <c r="G12" s="61" t="s">
        <v>67</v>
      </c>
      <c r="H12" s="24">
        <f>TRFdata!C20</f>
        <v>6</v>
      </c>
      <c r="I12" s="60">
        <f t="shared" si="1"/>
        <v>6.1224489795918366E-2</v>
      </c>
      <c r="K12" s="61" t="s">
        <v>58</v>
      </c>
      <c r="L12" s="24">
        <f>TRFdata!D9</f>
        <v>4</v>
      </c>
      <c r="M12" s="59">
        <f t="shared" si="2"/>
        <v>3.8834951456310676E-2</v>
      </c>
      <c r="N12" s="61" t="s">
        <v>67</v>
      </c>
      <c r="O12" s="24">
        <f>TRFdata!D20</f>
        <v>6</v>
      </c>
      <c r="P12" s="60">
        <f t="shared" si="3"/>
        <v>5.9405940594059403E-2</v>
      </c>
      <c r="R12" s="61" t="s">
        <v>58</v>
      </c>
      <c r="S12" s="24">
        <f>TRFdata!E9</f>
        <v>5.3</v>
      </c>
      <c r="T12" s="59">
        <f t="shared" si="4"/>
        <v>6.5920398009950254E-2</v>
      </c>
      <c r="U12" s="61" t="s">
        <v>67</v>
      </c>
      <c r="V12" s="24">
        <f>TRFdata!E20</f>
        <v>5</v>
      </c>
      <c r="W12" s="60">
        <f t="shared" si="5"/>
        <v>6.0901339829476243E-2</v>
      </c>
      <c r="Y12" s="61" t="s">
        <v>58</v>
      </c>
      <c r="Z12" s="24">
        <f>TRFdata!F9</f>
        <v>0.58333333333333337</v>
      </c>
      <c r="AA12" s="59">
        <f t="shared" si="6"/>
        <v>2.5179856115107913E-2</v>
      </c>
      <c r="AB12" s="61" t="s">
        <v>67</v>
      </c>
      <c r="AC12" s="24">
        <f>TRFdata!F20</f>
        <v>0.58333333333333337</v>
      </c>
      <c r="AD12" s="60">
        <f t="shared" si="7"/>
        <v>3.0042918454935629E-2</v>
      </c>
      <c r="AF12" s="61" t="s">
        <v>58</v>
      </c>
      <c r="AG12" s="24">
        <f>TRFdata!G9</f>
        <v>3.6750000000000003</v>
      </c>
      <c r="AH12" s="59">
        <f t="shared" si="8"/>
        <v>3.7974683544303799E-2</v>
      </c>
      <c r="AI12" s="61" t="s">
        <v>67</v>
      </c>
      <c r="AJ12" s="24">
        <f>TRFdata!G20</f>
        <v>7.3500000000000005</v>
      </c>
      <c r="AK12" s="60">
        <f t="shared" si="9"/>
        <v>6.1224489795918373E-2</v>
      </c>
      <c r="AM12" s="61" t="s">
        <v>58</v>
      </c>
      <c r="AN12" s="24">
        <f>TRFdata!H9</f>
        <v>4.9000000000000004</v>
      </c>
      <c r="AO12" s="59">
        <f t="shared" si="10"/>
        <v>3.8834951456310676E-2</v>
      </c>
      <c r="AP12" s="61" t="s">
        <v>67</v>
      </c>
      <c r="AQ12" s="24">
        <f>TRFdata!H20</f>
        <v>7.3500000000000005</v>
      </c>
      <c r="AR12" s="60">
        <f t="shared" si="11"/>
        <v>5.940594059405941E-2</v>
      </c>
      <c r="AT12" s="61" t="s">
        <v>58</v>
      </c>
      <c r="AU12" s="24">
        <f>TRFdata!I9</f>
        <v>6.4925000000000006</v>
      </c>
      <c r="AV12" s="59">
        <f t="shared" si="12"/>
        <v>6.5920398009950254E-2</v>
      </c>
      <c r="AW12" s="61" t="s">
        <v>67</v>
      </c>
      <c r="AX12" s="24">
        <f>TRFdata!I20</f>
        <v>6.125</v>
      </c>
      <c r="AY12" s="60">
        <f t="shared" si="13"/>
        <v>6.0901339829476243E-2</v>
      </c>
      <c r="BA12" s="61" t="s">
        <v>58</v>
      </c>
      <c r="BB12" s="24">
        <f>TRFdata!J9</f>
        <v>0.71458333333333346</v>
      </c>
      <c r="BC12" s="59">
        <f t="shared" si="14"/>
        <v>2.5179856115107917E-2</v>
      </c>
      <c r="BD12" s="61" t="s">
        <v>67</v>
      </c>
      <c r="BE12" s="24">
        <f>TRFdata!J20</f>
        <v>0.71458333333333346</v>
      </c>
      <c r="BF12" s="60">
        <f t="shared" si="15"/>
        <v>3.0042918454935629E-2</v>
      </c>
      <c r="BH12" s="61" t="s">
        <v>58</v>
      </c>
      <c r="BI12" s="24">
        <f>TRFdata!K9</f>
        <v>4.3499999999999996</v>
      </c>
      <c r="BJ12" s="59">
        <f t="shared" si="16"/>
        <v>3.7974683544303799E-2</v>
      </c>
      <c r="BK12" s="61" t="s">
        <v>67</v>
      </c>
      <c r="BL12" s="24">
        <f>TRFdata!K20</f>
        <v>8.6999999999999993</v>
      </c>
      <c r="BM12" s="60">
        <f t="shared" si="17"/>
        <v>6.1224489795918366E-2</v>
      </c>
      <c r="BO12" s="61" t="s">
        <v>58</v>
      </c>
      <c r="BP12" s="24">
        <f>TRFdata!L9</f>
        <v>5.8</v>
      </c>
      <c r="BQ12" s="59">
        <f t="shared" si="18"/>
        <v>3.8834951456310683E-2</v>
      </c>
      <c r="BR12" s="61" t="s">
        <v>67</v>
      </c>
      <c r="BS12" s="24">
        <f>TRFdata!L20</f>
        <v>8.6999999999999993</v>
      </c>
      <c r="BT12" s="60">
        <f t="shared" si="19"/>
        <v>5.9405940594059403E-2</v>
      </c>
      <c r="BV12" s="61" t="s">
        <v>58</v>
      </c>
      <c r="BW12" s="24">
        <f>TRFdata!M9</f>
        <v>7.6849999999999996</v>
      </c>
      <c r="BX12" s="59">
        <f t="shared" si="20"/>
        <v>6.5920398009950254E-2</v>
      </c>
      <c r="BY12" s="61" t="s">
        <v>67</v>
      </c>
      <c r="BZ12" s="24">
        <f>TRFdata!M20</f>
        <v>7.25</v>
      </c>
      <c r="CA12" s="60">
        <f t="shared" si="21"/>
        <v>6.090133982947625E-2</v>
      </c>
      <c r="CC12" s="61" t="s">
        <v>58</v>
      </c>
      <c r="CD12" s="24">
        <f>TRFdata!N9</f>
        <v>0.84583333333333333</v>
      </c>
      <c r="CE12" s="59">
        <f t="shared" si="22"/>
        <v>2.5179856115107913E-2</v>
      </c>
      <c r="CF12" s="61" t="s">
        <v>67</v>
      </c>
      <c r="CG12" s="24">
        <f>TRFdata!N20</f>
        <v>0.84583333333333333</v>
      </c>
      <c r="CH12" s="60">
        <f t="shared" si="23"/>
        <v>3.0042918454935619E-2</v>
      </c>
      <c r="CJ12" s="61" t="s">
        <v>58</v>
      </c>
      <c r="CK12" s="24">
        <v>30</v>
      </c>
      <c r="CL12" s="59">
        <f t="shared" si="24"/>
        <v>4.1379310344827586E-2</v>
      </c>
      <c r="CM12" s="61" t="s">
        <v>67</v>
      </c>
      <c r="CN12" s="24">
        <v>30</v>
      </c>
      <c r="CO12" s="60">
        <f t="shared" si="25"/>
        <v>4.1379310344827586E-2</v>
      </c>
      <c r="CQ12" s="61" t="s">
        <v>58</v>
      </c>
      <c r="CR12" s="24">
        <v>30</v>
      </c>
      <c r="CS12" s="59">
        <f t="shared" si="26"/>
        <v>4.1379310344827586E-2</v>
      </c>
      <c r="CT12" s="61" t="s">
        <v>67</v>
      </c>
      <c r="CU12" s="24">
        <v>30</v>
      </c>
      <c r="CV12" s="60">
        <f t="shared" si="27"/>
        <v>4.1379310344827586E-2</v>
      </c>
      <c r="CX12" s="61" t="s">
        <v>58</v>
      </c>
      <c r="CY12" s="24">
        <v>30</v>
      </c>
      <c r="CZ12" s="59">
        <f t="shared" si="28"/>
        <v>4.1379310344827586E-2</v>
      </c>
      <c r="DA12" s="61" t="s">
        <v>67</v>
      </c>
      <c r="DB12" s="24">
        <v>30</v>
      </c>
      <c r="DC12" s="60">
        <f t="shared" si="29"/>
        <v>4.1379310344827586E-2</v>
      </c>
      <c r="DE12" s="61" t="s">
        <v>58</v>
      </c>
      <c r="DF12" s="24">
        <v>30</v>
      </c>
      <c r="DG12" s="59">
        <f t="shared" si="30"/>
        <v>4.1379310344827586E-2</v>
      </c>
      <c r="DH12" s="61" t="s">
        <v>67</v>
      </c>
      <c r="DI12" s="24">
        <v>30</v>
      </c>
      <c r="DJ12" s="60">
        <f t="shared" si="31"/>
        <v>4.1379310344827586E-2</v>
      </c>
      <c r="DL12" s="61" t="s">
        <v>58</v>
      </c>
      <c r="DM12" s="24">
        <v>30</v>
      </c>
      <c r="DN12" s="59">
        <f t="shared" si="32"/>
        <v>4.1379310344827586E-2</v>
      </c>
      <c r="DO12" s="61" t="s">
        <v>67</v>
      </c>
      <c r="DP12" s="24">
        <v>30</v>
      </c>
      <c r="DQ12" s="60">
        <f t="shared" si="33"/>
        <v>4.1379310344827586E-2</v>
      </c>
      <c r="DS12" s="61" t="s">
        <v>58</v>
      </c>
      <c r="DT12" s="24">
        <v>30</v>
      </c>
      <c r="DU12" s="59">
        <f t="shared" si="34"/>
        <v>4.1379310344827586E-2</v>
      </c>
      <c r="DV12" s="61" t="s">
        <v>67</v>
      </c>
      <c r="DW12" s="24">
        <v>30</v>
      </c>
      <c r="DX12" s="60">
        <f t="shared" si="35"/>
        <v>4.1379310344827586E-2</v>
      </c>
      <c r="DZ12" s="61" t="s">
        <v>58</v>
      </c>
      <c r="EA12" s="24">
        <v>30</v>
      </c>
      <c r="EB12" s="59">
        <f t="shared" si="36"/>
        <v>4.1379310344827586E-2</v>
      </c>
      <c r="EC12" s="61" t="s">
        <v>67</v>
      </c>
      <c r="ED12" s="24">
        <v>30</v>
      </c>
      <c r="EE12" s="60">
        <f t="shared" si="37"/>
        <v>4.1379310344827586E-2</v>
      </c>
      <c r="EG12" s="61" t="s">
        <v>58</v>
      </c>
      <c r="EH12" s="24">
        <v>30</v>
      </c>
      <c r="EI12" s="59">
        <f t="shared" si="38"/>
        <v>4.1379310344827586E-2</v>
      </c>
      <c r="EJ12" s="61" t="s">
        <v>67</v>
      </c>
      <c r="EK12" s="24">
        <v>30</v>
      </c>
      <c r="EL12" s="60">
        <f t="shared" si="39"/>
        <v>4.1379310344827586E-2</v>
      </c>
      <c r="EN12" s="61" t="s">
        <v>58</v>
      </c>
      <c r="EO12" s="24">
        <v>30</v>
      </c>
      <c r="EP12" s="59">
        <f t="shared" si="40"/>
        <v>4.1666666666666664E-2</v>
      </c>
      <c r="EQ12" s="61" t="s">
        <v>67</v>
      </c>
      <c r="ER12" s="24">
        <v>30</v>
      </c>
      <c r="ES12" s="60">
        <f t="shared" si="41"/>
        <v>4.1666666666666664E-2</v>
      </c>
      <c r="EU12" s="61" t="s">
        <v>58</v>
      </c>
      <c r="EV12" s="24">
        <v>30</v>
      </c>
      <c r="EW12" s="59">
        <f t="shared" si="42"/>
        <v>4.1666666666666664E-2</v>
      </c>
      <c r="EX12" s="61" t="s">
        <v>67</v>
      </c>
      <c r="EY12" s="24">
        <v>30</v>
      </c>
      <c r="EZ12" s="60">
        <f t="shared" si="43"/>
        <v>4.1666666666666664E-2</v>
      </c>
      <c r="FB12" s="61" t="s">
        <v>58</v>
      </c>
      <c r="FC12" s="24">
        <v>30</v>
      </c>
      <c r="FD12" s="59">
        <f t="shared" si="44"/>
        <v>4.1666666666666664E-2</v>
      </c>
      <c r="FE12" s="61" t="s">
        <v>67</v>
      </c>
      <c r="FF12" s="24">
        <v>30</v>
      </c>
      <c r="FG12" s="60">
        <f t="shared" si="45"/>
        <v>4.1666666666666664E-2</v>
      </c>
      <c r="FI12" s="61" t="s">
        <v>58</v>
      </c>
      <c r="FJ12" s="24">
        <v>30</v>
      </c>
      <c r="FK12" s="59">
        <f t="shared" si="46"/>
        <v>4.1666666666666664E-2</v>
      </c>
      <c r="FL12" s="61" t="s">
        <v>67</v>
      </c>
      <c r="FM12" s="24">
        <v>30</v>
      </c>
      <c r="FN12" s="60">
        <f t="shared" si="47"/>
        <v>4.1666666666666664E-2</v>
      </c>
      <c r="FP12" s="61" t="s">
        <v>58</v>
      </c>
      <c r="FQ12" s="24">
        <v>30</v>
      </c>
      <c r="FR12" s="59">
        <f t="shared" si="48"/>
        <v>4.1666666666666664E-2</v>
      </c>
      <c r="FS12" s="61" t="s">
        <v>67</v>
      </c>
      <c r="FT12" s="24">
        <v>30</v>
      </c>
      <c r="FU12" s="60">
        <f t="shared" si="49"/>
        <v>4.1666666666666664E-2</v>
      </c>
      <c r="FW12" s="61" t="s">
        <v>58</v>
      </c>
      <c r="FX12" s="24">
        <v>30</v>
      </c>
      <c r="FY12" s="59">
        <f t="shared" si="50"/>
        <v>4.1666666666666664E-2</v>
      </c>
      <c r="FZ12" s="61" t="s">
        <v>67</v>
      </c>
      <c r="GA12" s="24">
        <v>30</v>
      </c>
      <c r="GB12" s="60">
        <f t="shared" si="51"/>
        <v>4.1666666666666664E-2</v>
      </c>
      <c r="GD12" s="61" t="s">
        <v>58</v>
      </c>
      <c r="GE12" s="24">
        <v>30</v>
      </c>
      <c r="GF12" s="59">
        <f t="shared" si="52"/>
        <v>4.1666666666666664E-2</v>
      </c>
      <c r="GG12" s="61" t="s">
        <v>67</v>
      </c>
      <c r="GH12" s="24">
        <v>30</v>
      </c>
      <c r="GI12" s="60">
        <f t="shared" si="53"/>
        <v>4.1666666666666664E-2</v>
      </c>
      <c r="GK12" s="61" t="s">
        <v>58</v>
      </c>
      <c r="GL12" s="24">
        <v>30</v>
      </c>
      <c r="GM12" s="59">
        <f t="shared" si="54"/>
        <v>4.1666666666666664E-2</v>
      </c>
      <c r="GN12" s="61" t="s">
        <v>67</v>
      </c>
      <c r="GO12" s="24">
        <v>30</v>
      </c>
      <c r="GP12" s="60">
        <f t="shared" si="55"/>
        <v>4.1666666666666664E-2</v>
      </c>
      <c r="GR12" s="61" t="s">
        <v>58</v>
      </c>
      <c r="GS12" s="24">
        <v>30</v>
      </c>
      <c r="GT12" s="59">
        <f t="shared" si="56"/>
        <v>4.1666666666666664E-2</v>
      </c>
      <c r="GU12" s="61" t="s">
        <v>67</v>
      </c>
      <c r="GV12" s="24">
        <v>30</v>
      </c>
      <c r="GW12" s="60">
        <f t="shared" si="57"/>
        <v>4.1666666666666664E-2</v>
      </c>
      <c r="GY12" s="61" t="s">
        <v>58</v>
      </c>
      <c r="GZ12" s="24">
        <v>30</v>
      </c>
      <c r="HA12" s="59">
        <f t="shared" si="58"/>
        <v>4.1666666666666664E-2</v>
      </c>
      <c r="HB12" s="61" t="s">
        <v>67</v>
      </c>
      <c r="HC12" s="24">
        <v>30</v>
      </c>
      <c r="HD12" s="60">
        <f t="shared" si="59"/>
        <v>4.1666666666666664E-2</v>
      </c>
      <c r="HF12" s="61" t="s">
        <v>58</v>
      </c>
      <c r="HG12" s="24">
        <v>30</v>
      </c>
      <c r="HH12" s="59">
        <f t="shared" si="60"/>
        <v>4.1666666666666664E-2</v>
      </c>
      <c r="HI12" s="61" t="s">
        <v>67</v>
      </c>
      <c r="HJ12" s="24">
        <v>30</v>
      </c>
      <c r="HK12" s="60">
        <f t="shared" si="61"/>
        <v>4.1666666666666664E-2</v>
      </c>
      <c r="HM12" s="61" t="s">
        <v>58</v>
      </c>
      <c r="HN12" s="24">
        <v>30</v>
      </c>
      <c r="HO12" s="59">
        <f t="shared" si="62"/>
        <v>4.1666666666666664E-2</v>
      </c>
      <c r="HP12" s="61" t="s">
        <v>67</v>
      </c>
      <c r="HQ12" s="24">
        <v>30</v>
      </c>
      <c r="HR12" s="60">
        <f t="shared" si="63"/>
        <v>4.1666666666666664E-2</v>
      </c>
      <c r="HT12" s="61" t="s">
        <v>58</v>
      </c>
      <c r="HU12" s="24">
        <v>30</v>
      </c>
      <c r="HV12" s="59">
        <f t="shared" si="64"/>
        <v>4.1666666666666664E-2</v>
      </c>
      <c r="HW12" s="61" t="s">
        <v>67</v>
      </c>
      <c r="HX12" s="24">
        <v>30</v>
      </c>
      <c r="HY12" s="60">
        <f t="shared" si="65"/>
        <v>4.1666666666666664E-2</v>
      </c>
      <c r="IA12" s="61" t="s">
        <v>58</v>
      </c>
      <c r="IB12" s="24">
        <v>30</v>
      </c>
      <c r="IC12" s="59">
        <f t="shared" si="66"/>
        <v>4.1666666666666664E-2</v>
      </c>
      <c r="ID12" s="61" t="s">
        <v>67</v>
      </c>
      <c r="IE12" s="24">
        <v>30</v>
      </c>
      <c r="IF12" s="60">
        <f t="shared" si="67"/>
        <v>4.1666666666666664E-2</v>
      </c>
      <c r="IH12" s="61" t="s">
        <v>58</v>
      </c>
      <c r="II12" s="24">
        <v>30</v>
      </c>
      <c r="IJ12" s="59">
        <f t="shared" si="68"/>
        <v>4.1666666666666664E-2</v>
      </c>
      <c r="IK12" s="61" t="s">
        <v>67</v>
      </c>
      <c r="IL12" s="24">
        <v>30</v>
      </c>
      <c r="IM12" s="60">
        <f t="shared" si="69"/>
        <v>4.1666666666666664E-2</v>
      </c>
      <c r="IO12" s="61" t="s">
        <v>58</v>
      </c>
      <c r="IP12" s="24">
        <v>30</v>
      </c>
      <c r="IQ12" s="59">
        <f t="shared" si="70"/>
        <v>4.1666666666666664E-2</v>
      </c>
      <c r="IR12" s="61" t="s">
        <v>67</v>
      </c>
      <c r="IS12" s="24">
        <v>30</v>
      </c>
      <c r="IT12" s="60">
        <f t="shared" si="71"/>
        <v>4.1666666666666664E-2</v>
      </c>
    </row>
    <row r="13" spans="1:254" x14ac:dyDescent="0.2">
      <c r="D13" s="61" t="s">
        <v>59</v>
      </c>
      <c r="E13" s="24">
        <f>TRFdata!C10</f>
        <v>5</v>
      </c>
      <c r="F13" s="59">
        <f t="shared" si="0"/>
        <v>6.3291139240506333E-2</v>
      </c>
      <c r="G13" s="61" t="s">
        <v>68</v>
      </c>
      <c r="H13" s="24">
        <f>TRFdata!C21</f>
        <v>5</v>
      </c>
      <c r="I13" s="60">
        <f t="shared" si="1"/>
        <v>5.1020408163265307E-2</v>
      </c>
      <c r="K13" s="61" t="s">
        <v>59</v>
      </c>
      <c r="L13" s="24">
        <f>TRFdata!D10</f>
        <v>6</v>
      </c>
      <c r="M13" s="59">
        <f t="shared" si="2"/>
        <v>5.8252427184466021E-2</v>
      </c>
      <c r="N13" s="61" t="s">
        <v>68</v>
      </c>
      <c r="O13" s="24">
        <f>TRFdata!D21</f>
        <v>7</v>
      </c>
      <c r="P13" s="60">
        <f t="shared" si="3"/>
        <v>6.9306930693069313E-2</v>
      </c>
      <c r="R13" s="61" t="s">
        <v>59</v>
      </c>
      <c r="S13" s="24">
        <f>TRFdata!E10</f>
        <v>4.8</v>
      </c>
      <c r="T13" s="59">
        <f t="shared" si="4"/>
        <v>5.9701492537313439E-2</v>
      </c>
      <c r="U13" s="61" t="s">
        <v>68</v>
      </c>
      <c r="V13" s="24">
        <f>TRFdata!E21</f>
        <v>4.7</v>
      </c>
      <c r="W13" s="60">
        <f t="shared" si="5"/>
        <v>5.7247259439707668E-2</v>
      </c>
      <c r="Y13" s="61" t="s">
        <v>59</v>
      </c>
      <c r="Z13" s="24">
        <f>TRFdata!F10</f>
        <v>0.75</v>
      </c>
      <c r="AA13" s="59">
        <f t="shared" si="6"/>
        <v>3.237410071942446E-2</v>
      </c>
      <c r="AB13" s="61" t="s">
        <v>68</v>
      </c>
      <c r="AC13" s="24">
        <f>TRFdata!F21</f>
        <v>0.5</v>
      </c>
      <c r="AD13" s="60">
        <f t="shared" si="7"/>
        <v>2.5751072961373394E-2</v>
      </c>
      <c r="AF13" s="61" t="s">
        <v>59</v>
      </c>
      <c r="AG13" s="24">
        <f>TRFdata!G10</f>
        <v>6.125</v>
      </c>
      <c r="AH13" s="59">
        <f t="shared" si="8"/>
        <v>6.3291139240506319E-2</v>
      </c>
      <c r="AI13" s="61" t="s">
        <v>68</v>
      </c>
      <c r="AJ13" s="24">
        <f>TRFdata!G21</f>
        <v>6.125</v>
      </c>
      <c r="AK13" s="60">
        <f t="shared" si="9"/>
        <v>5.1020408163265307E-2</v>
      </c>
      <c r="AM13" s="61" t="s">
        <v>59</v>
      </c>
      <c r="AN13" s="24">
        <f>TRFdata!H10</f>
        <v>7.3500000000000005</v>
      </c>
      <c r="AO13" s="59">
        <f t="shared" si="10"/>
        <v>5.8252427184466021E-2</v>
      </c>
      <c r="AP13" s="61" t="s">
        <v>68</v>
      </c>
      <c r="AQ13" s="24">
        <f>TRFdata!H21</f>
        <v>8.5750000000000011</v>
      </c>
      <c r="AR13" s="60">
        <f t="shared" si="11"/>
        <v>6.9306930693069313E-2</v>
      </c>
      <c r="AT13" s="61" t="s">
        <v>59</v>
      </c>
      <c r="AU13" s="24">
        <f>TRFdata!I10</f>
        <v>5.88</v>
      </c>
      <c r="AV13" s="59">
        <f t="shared" si="12"/>
        <v>5.9701492537313425E-2</v>
      </c>
      <c r="AW13" s="61" t="s">
        <v>68</v>
      </c>
      <c r="AX13" s="24">
        <f>TRFdata!I21</f>
        <v>5.7575000000000003</v>
      </c>
      <c r="AY13" s="60">
        <f t="shared" si="13"/>
        <v>5.7247259439707675E-2</v>
      </c>
      <c r="BA13" s="61" t="s">
        <v>59</v>
      </c>
      <c r="BB13" s="24">
        <f>TRFdata!J10</f>
        <v>0.91875000000000007</v>
      </c>
      <c r="BC13" s="59">
        <f t="shared" si="14"/>
        <v>3.237410071942446E-2</v>
      </c>
      <c r="BD13" s="61" t="s">
        <v>68</v>
      </c>
      <c r="BE13" s="24">
        <f>TRFdata!J21</f>
        <v>0.61250000000000004</v>
      </c>
      <c r="BF13" s="60">
        <f t="shared" si="15"/>
        <v>2.5751072961373394E-2</v>
      </c>
      <c r="BH13" s="61" t="s">
        <v>59</v>
      </c>
      <c r="BI13" s="24">
        <f>TRFdata!K10</f>
        <v>7.25</v>
      </c>
      <c r="BJ13" s="59">
        <f t="shared" si="16"/>
        <v>6.3291139240506333E-2</v>
      </c>
      <c r="BK13" s="61" t="s">
        <v>68</v>
      </c>
      <c r="BL13" s="24">
        <f>TRFdata!K21</f>
        <v>7.25</v>
      </c>
      <c r="BM13" s="60">
        <f t="shared" si="17"/>
        <v>5.1020408163265307E-2</v>
      </c>
      <c r="BO13" s="61" t="s">
        <v>59</v>
      </c>
      <c r="BP13" s="24">
        <f>TRFdata!L10</f>
        <v>8.6999999999999993</v>
      </c>
      <c r="BQ13" s="59">
        <f t="shared" si="18"/>
        <v>5.8252427184466014E-2</v>
      </c>
      <c r="BR13" s="61" t="s">
        <v>68</v>
      </c>
      <c r="BS13" s="24">
        <f>TRFdata!L21</f>
        <v>10.15</v>
      </c>
      <c r="BT13" s="60">
        <f t="shared" si="19"/>
        <v>6.9306930693069313E-2</v>
      </c>
      <c r="BV13" s="61" t="s">
        <v>59</v>
      </c>
      <c r="BW13" s="24">
        <f>TRFdata!M10</f>
        <v>6.96</v>
      </c>
      <c r="BX13" s="59">
        <f t="shared" si="20"/>
        <v>5.9701492537313439E-2</v>
      </c>
      <c r="BY13" s="61" t="s">
        <v>68</v>
      </c>
      <c r="BZ13" s="24">
        <f>TRFdata!M21</f>
        <v>6.8150000000000004</v>
      </c>
      <c r="CA13" s="60">
        <f t="shared" si="21"/>
        <v>5.7247259439707675E-2</v>
      </c>
      <c r="CC13" s="61" t="s">
        <v>59</v>
      </c>
      <c r="CD13" s="24">
        <f>TRFdata!N10</f>
        <v>1.0874999999999999</v>
      </c>
      <c r="CE13" s="59">
        <f t="shared" si="22"/>
        <v>3.2374100719424453E-2</v>
      </c>
      <c r="CF13" s="61" t="s">
        <v>68</v>
      </c>
      <c r="CG13" s="24">
        <f>TRFdata!N21</f>
        <v>0.72499999999999998</v>
      </c>
      <c r="CH13" s="60">
        <f t="shared" si="23"/>
        <v>2.5751072961373387E-2</v>
      </c>
      <c r="CJ13" s="61" t="s">
        <v>59</v>
      </c>
      <c r="CK13" s="24">
        <v>40</v>
      </c>
      <c r="CL13" s="59">
        <f t="shared" si="24"/>
        <v>5.5172413793103448E-2</v>
      </c>
      <c r="CM13" s="61" t="s">
        <v>68</v>
      </c>
      <c r="CN13" s="24">
        <v>40</v>
      </c>
      <c r="CO13" s="60">
        <f t="shared" si="25"/>
        <v>5.5172413793103448E-2</v>
      </c>
      <c r="CQ13" s="61" t="s">
        <v>59</v>
      </c>
      <c r="CR13" s="24">
        <v>40</v>
      </c>
      <c r="CS13" s="59">
        <f t="shared" si="26"/>
        <v>5.5172413793103448E-2</v>
      </c>
      <c r="CT13" s="61" t="s">
        <v>68</v>
      </c>
      <c r="CU13" s="24">
        <v>40</v>
      </c>
      <c r="CV13" s="60">
        <f t="shared" si="27"/>
        <v>5.5172413793103448E-2</v>
      </c>
      <c r="CX13" s="61" t="s">
        <v>59</v>
      </c>
      <c r="CY13" s="24">
        <v>40</v>
      </c>
      <c r="CZ13" s="59">
        <f t="shared" si="28"/>
        <v>5.5172413793103448E-2</v>
      </c>
      <c r="DA13" s="61" t="s">
        <v>68</v>
      </c>
      <c r="DB13" s="24">
        <v>40</v>
      </c>
      <c r="DC13" s="60">
        <f t="shared" si="29"/>
        <v>5.5172413793103448E-2</v>
      </c>
      <c r="DE13" s="61" t="s">
        <v>59</v>
      </c>
      <c r="DF13" s="24">
        <v>40</v>
      </c>
      <c r="DG13" s="59">
        <f t="shared" si="30"/>
        <v>5.5172413793103448E-2</v>
      </c>
      <c r="DH13" s="61" t="s">
        <v>68</v>
      </c>
      <c r="DI13" s="24">
        <v>40</v>
      </c>
      <c r="DJ13" s="60">
        <f t="shared" si="31"/>
        <v>5.5172413793103448E-2</v>
      </c>
      <c r="DL13" s="61" t="s">
        <v>59</v>
      </c>
      <c r="DM13" s="24">
        <v>40</v>
      </c>
      <c r="DN13" s="59">
        <f t="shared" si="32"/>
        <v>5.5172413793103448E-2</v>
      </c>
      <c r="DO13" s="61" t="s">
        <v>68</v>
      </c>
      <c r="DP13" s="24">
        <v>40</v>
      </c>
      <c r="DQ13" s="60">
        <f t="shared" si="33"/>
        <v>5.5172413793103448E-2</v>
      </c>
      <c r="DS13" s="61" t="s">
        <v>59</v>
      </c>
      <c r="DT13" s="24">
        <v>40</v>
      </c>
      <c r="DU13" s="59">
        <f t="shared" si="34"/>
        <v>5.5172413793103448E-2</v>
      </c>
      <c r="DV13" s="61" t="s">
        <v>68</v>
      </c>
      <c r="DW13" s="24">
        <v>40</v>
      </c>
      <c r="DX13" s="60">
        <f t="shared" si="35"/>
        <v>5.5172413793103448E-2</v>
      </c>
      <c r="DZ13" s="61" t="s">
        <v>59</v>
      </c>
      <c r="EA13" s="24">
        <v>40</v>
      </c>
      <c r="EB13" s="59">
        <f t="shared" si="36"/>
        <v>5.5172413793103448E-2</v>
      </c>
      <c r="EC13" s="61" t="s">
        <v>68</v>
      </c>
      <c r="ED13" s="24">
        <v>40</v>
      </c>
      <c r="EE13" s="60">
        <f t="shared" si="37"/>
        <v>5.5172413793103448E-2</v>
      </c>
      <c r="EG13" s="61" t="s">
        <v>59</v>
      </c>
      <c r="EH13" s="24">
        <v>40</v>
      </c>
      <c r="EI13" s="59">
        <f t="shared" si="38"/>
        <v>5.5172413793103448E-2</v>
      </c>
      <c r="EJ13" s="61" t="s">
        <v>68</v>
      </c>
      <c r="EK13" s="24">
        <v>40</v>
      </c>
      <c r="EL13" s="60">
        <f t="shared" si="39"/>
        <v>5.5172413793103448E-2</v>
      </c>
      <c r="EN13" s="61" t="s">
        <v>59</v>
      </c>
      <c r="EO13" s="24">
        <v>40</v>
      </c>
      <c r="EP13" s="59">
        <f t="shared" si="40"/>
        <v>5.5555555555555552E-2</v>
      </c>
      <c r="EQ13" s="61" t="s">
        <v>68</v>
      </c>
      <c r="ER13" s="24">
        <v>40</v>
      </c>
      <c r="ES13" s="60">
        <f t="shared" si="41"/>
        <v>5.5555555555555552E-2</v>
      </c>
      <c r="EU13" s="61" t="s">
        <v>59</v>
      </c>
      <c r="EV13" s="24">
        <v>40</v>
      </c>
      <c r="EW13" s="59">
        <f t="shared" si="42"/>
        <v>5.5555555555555552E-2</v>
      </c>
      <c r="EX13" s="61" t="s">
        <v>68</v>
      </c>
      <c r="EY13" s="24">
        <v>40</v>
      </c>
      <c r="EZ13" s="60">
        <f t="shared" si="43"/>
        <v>5.5555555555555552E-2</v>
      </c>
      <c r="FB13" s="61" t="s">
        <v>59</v>
      </c>
      <c r="FC13" s="24">
        <v>40</v>
      </c>
      <c r="FD13" s="59">
        <f t="shared" si="44"/>
        <v>5.5555555555555552E-2</v>
      </c>
      <c r="FE13" s="61" t="s">
        <v>68</v>
      </c>
      <c r="FF13" s="24">
        <v>40</v>
      </c>
      <c r="FG13" s="60">
        <f t="shared" si="45"/>
        <v>5.5555555555555552E-2</v>
      </c>
      <c r="FI13" s="61" t="s">
        <v>59</v>
      </c>
      <c r="FJ13" s="24">
        <v>40</v>
      </c>
      <c r="FK13" s="59">
        <f t="shared" si="46"/>
        <v>5.5555555555555552E-2</v>
      </c>
      <c r="FL13" s="61" t="s">
        <v>68</v>
      </c>
      <c r="FM13" s="24">
        <v>40</v>
      </c>
      <c r="FN13" s="60">
        <f t="shared" si="47"/>
        <v>5.5555555555555552E-2</v>
      </c>
      <c r="FP13" s="61" t="s">
        <v>59</v>
      </c>
      <c r="FQ13" s="24">
        <v>40</v>
      </c>
      <c r="FR13" s="59">
        <f t="shared" si="48"/>
        <v>5.5555555555555552E-2</v>
      </c>
      <c r="FS13" s="61" t="s">
        <v>68</v>
      </c>
      <c r="FT13" s="24">
        <v>40</v>
      </c>
      <c r="FU13" s="60">
        <f t="shared" si="49"/>
        <v>5.5555555555555552E-2</v>
      </c>
      <c r="FW13" s="61" t="s">
        <v>59</v>
      </c>
      <c r="FX13" s="24">
        <v>40</v>
      </c>
      <c r="FY13" s="59">
        <f t="shared" si="50"/>
        <v>5.5555555555555552E-2</v>
      </c>
      <c r="FZ13" s="61" t="s">
        <v>68</v>
      </c>
      <c r="GA13" s="24">
        <v>40</v>
      </c>
      <c r="GB13" s="60">
        <f t="shared" si="51"/>
        <v>5.5555555555555552E-2</v>
      </c>
      <c r="GD13" s="61" t="s">
        <v>59</v>
      </c>
      <c r="GE13" s="24">
        <v>40</v>
      </c>
      <c r="GF13" s="59">
        <f t="shared" si="52"/>
        <v>5.5555555555555552E-2</v>
      </c>
      <c r="GG13" s="61" t="s">
        <v>68</v>
      </c>
      <c r="GH13" s="24">
        <v>40</v>
      </c>
      <c r="GI13" s="60">
        <f t="shared" si="53"/>
        <v>5.5555555555555552E-2</v>
      </c>
      <c r="GK13" s="61" t="s">
        <v>59</v>
      </c>
      <c r="GL13" s="24">
        <v>40</v>
      </c>
      <c r="GM13" s="59">
        <f t="shared" si="54"/>
        <v>5.5555555555555552E-2</v>
      </c>
      <c r="GN13" s="61" t="s">
        <v>68</v>
      </c>
      <c r="GO13" s="24">
        <v>40</v>
      </c>
      <c r="GP13" s="60">
        <f t="shared" si="55"/>
        <v>5.5555555555555552E-2</v>
      </c>
      <c r="GR13" s="61" t="s">
        <v>59</v>
      </c>
      <c r="GS13" s="24">
        <v>40</v>
      </c>
      <c r="GT13" s="59">
        <f t="shared" si="56"/>
        <v>5.5555555555555552E-2</v>
      </c>
      <c r="GU13" s="61" t="s">
        <v>68</v>
      </c>
      <c r="GV13" s="24">
        <v>40</v>
      </c>
      <c r="GW13" s="60">
        <f t="shared" si="57"/>
        <v>5.5555555555555552E-2</v>
      </c>
      <c r="GY13" s="61" t="s">
        <v>59</v>
      </c>
      <c r="GZ13" s="24">
        <v>40</v>
      </c>
      <c r="HA13" s="59">
        <f t="shared" si="58"/>
        <v>5.5555555555555552E-2</v>
      </c>
      <c r="HB13" s="61" t="s">
        <v>68</v>
      </c>
      <c r="HC13" s="24">
        <v>40</v>
      </c>
      <c r="HD13" s="60">
        <f t="shared" si="59"/>
        <v>5.5555555555555552E-2</v>
      </c>
      <c r="HF13" s="61" t="s">
        <v>59</v>
      </c>
      <c r="HG13" s="24">
        <v>40</v>
      </c>
      <c r="HH13" s="59">
        <f t="shared" si="60"/>
        <v>5.5555555555555552E-2</v>
      </c>
      <c r="HI13" s="61" t="s">
        <v>68</v>
      </c>
      <c r="HJ13" s="24">
        <v>40</v>
      </c>
      <c r="HK13" s="60">
        <f t="shared" si="61"/>
        <v>5.5555555555555552E-2</v>
      </c>
      <c r="HM13" s="61" t="s">
        <v>59</v>
      </c>
      <c r="HN13" s="24">
        <v>40</v>
      </c>
      <c r="HO13" s="59">
        <f t="shared" si="62"/>
        <v>5.5555555555555552E-2</v>
      </c>
      <c r="HP13" s="61" t="s">
        <v>68</v>
      </c>
      <c r="HQ13" s="24">
        <v>40</v>
      </c>
      <c r="HR13" s="60">
        <f t="shared" si="63"/>
        <v>5.5555555555555552E-2</v>
      </c>
      <c r="HT13" s="61" t="s">
        <v>59</v>
      </c>
      <c r="HU13" s="24">
        <v>40</v>
      </c>
      <c r="HV13" s="59">
        <f t="shared" si="64"/>
        <v>5.5555555555555552E-2</v>
      </c>
      <c r="HW13" s="61" t="s">
        <v>68</v>
      </c>
      <c r="HX13" s="24">
        <v>40</v>
      </c>
      <c r="HY13" s="60">
        <f t="shared" si="65"/>
        <v>5.5555555555555552E-2</v>
      </c>
      <c r="IA13" s="61" t="s">
        <v>59</v>
      </c>
      <c r="IB13" s="24">
        <v>40</v>
      </c>
      <c r="IC13" s="59">
        <f t="shared" si="66"/>
        <v>5.5555555555555552E-2</v>
      </c>
      <c r="ID13" s="61" t="s">
        <v>68</v>
      </c>
      <c r="IE13" s="24">
        <v>40</v>
      </c>
      <c r="IF13" s="60">
        <f t="shared" si="67"/>
        <v>5.5555555555555552E-2</v>
      </c>
      <c r="IH13" s="61" t="s">
        <v>59</v>
      </c>
      <c r="II13" s="24">
        <v>40</v>
      </c>
      <c r="IJ13" s="59">
        <f t="shared" si="68"/>
        <v>5.5555555555555552E-2</v>
      </c>
      <c r="IK13" s="61" t="s">
        <v>68</v>
      </c>
      <c r="IL13" s="24">
        <v>40</v>
      </c>
      <c r="IM13" s="60">
        <f t="shared" si="69"/>
        <v>5.5555555555555552E-2</v>
      </c>
      <c r="IO13" s="61" t="s">
        <v>59</v>
      </c>
      <c r="IP13" s="24">
        <v>40</v>
      </c>
      <c r="IQ13" s="59">
        <f t="shared" si="70"/>
        <v>5.5555555555555552E-2</v>
      </c>
      <c r="IR13" s="61" t="s">
        <v>68</v>
      </c>
      <c r="IS13" s="24">
        <v>40</v>
      </c>
      <c r="IT13" s="60">
        <f t="shared" si="71"/>
        <v>5.5555555555555552E-2</v>
      </c>
    </row>
    <row r="14" spans="1:254" x14ac:dyDescent="0.2">
      <c r="D14" s="61" t="s">
        <v>60</v>
      </c>
      <c r="E14" s="24">
        <f>TRFdata!C11</f>
        <v>2</v>
      </c>
      <c r="F14" s="59">
        <f t="shared" si="0"/>
        <v>2.5316455696202531E-2</v>
      </c>
      <c r="G14" s="61" t="s">
        <v>69</v>
      </c>
      <c r="H14" s="24">
        <f>TRFdata!C22</f>
        <v>4</v>
      </c>
      <c r="I14" s="60">
        <f t="shared" si="1"/>
        <v>4.0816326530612242E-2</v>
      </c>
      <c r="K14" s="61" t="s">
        <v>60</v>
      </c>
      <c r="L14" s="24">
        <f>TRFdata!D11</f>
        <v>4</v>
      </c>
      <c r="M14" s="59">
        <f t="shared" si="2"/>
        <v>3.8834951456310676E-2</v>
      </c>
      <c r="N14" s="61" t="s">
        <v>69</v>
      </c>
      <c r="O14" s="24">
        <f>TRFdata!D22</f>
        <v>3</v>
      </c>
      <c r="P14" s="60">
        <f t="shared" si="3"/>
        <v>2.9702970297029702E-2</v>
      </c>
      <c r="R14" s="61" t="s">
        <v>60</v>
      </c>
      <c r="S14" s="24">
        <f>TRFdata!E11</f>
        <v>3.2</v>
      </c>
      <c r="T14" s="59">
        <f t="shared" si="4"/>
        <v>3.9800995024875628E-2</v>
      </c>
      <c r="U14" s="61" t="s">
        <v>69</v>
      </c>
      <c r="V14" s="24">
        <f>TRFdata!E22</f>
        <v>4.4000000000000004</v>
      </c>
      <c r="W14" s="60">
        <f t="shared" si="5"/>
        <v>5.3593179049939099E-2</v>
      </c>
      <c r="Y14" s="61" t="s">
        <v>60</v>
      </c>
      <c r="Z14" s="24">
        <f>TRFdata!F11</f>
        <v>2.5</v>
      </c>
      <c r="AA14" s="59">
        <f t="shared" si="6"/>
        <v>0.1079136690647482</v>
      </c>
      <c r="AB14" s="61" t="s">
        <v>69</v>
      </c>
      <c r="AC14" s="24">
        <f>TRFdata!F22</f>
        <v>2.1666666666666665</v>
      </c>
      <c r="AD14" s="60">
        <f t="shared" si="7"/>
        <v>0.11158798283261803</v>
      </c>
      <c r="AF14" s="61" t="s">
        <v>60</v>
      </c>
      <c r="AG14" s="24">
        <f>TRFdata!G11</f>
        <v>2.4500000000000002</v>
      </c>
      <c r="AH14" s="59">
        <f t="shared" si="8"/>
        <v>2.5316455696202531E-2</v>
      </c>
      <c r="AI14" s="61" t="s">
        <v>69</v>
      </c>
      <c r="AJ14" s="24">
        <f>TRFdata!G22</f>
        <v>4.9000000000000004</v>
      </c>
      <c r="AK14" s="60">
        <f t="shared" si="9"/>
        <v>4.0816326530612249E-2</v>
      </c>
      <c r="AM14" s="61" t="s">
        <v>60</v>
      </c>
      <c r="AN14" s="24">
        <f>TRFdata!H11</f>
        <v>4.9000000000000004</v>
      </c>
      <c r="AO14" s="59">
        <f t="shared" si="10"/>
        <v>3.8834951456310676E-2</v>
      </c>
      <c r="AP14" s="61" t="s">
        <v>69</v>
      </c>
      <c r="AQ14" s="24">
        <f>TRFdata!H22</f>
        <v>3.6750000000000003</v>
      </c>
      <c r="AR14" s="60">
        <f t="shared" si="11"/>
        <v>2.9702970297029705E-2</v>
      </c>
      <c r="AT14" s="61" t="s">
        <v>60</v>
      </c>
      <c r="AU14" s="24">
        <f>TRFdata!I11</f>
        <v>3.9200000000000004</v>
      </c>
      <c r="AV14" s="59">
        <f t="shared" si="12"/>
        <v>3.9800995024875621E-2</v>
      </c>
      <c r="AW14" s="61" t="s">
        <v>69</v>
      </c>
      <c r="AX14" s="24">
        <f>TRFdata!I22</f>
        <v>5.3900000000000006</v>
      </c>
      <c r="AY14" s="60">
        <f t="shared" si="13"/>
        <v>5.3593179049939099E-2</v>
      </c>
      <c r="BA14" s="61" t="s">
        <v>60</v>
      </c>
      <c r="BB14" s="24">
        <f>TRFdata!J11</f>
        <v>3.0625</v>
      </c>
      <c r="BC14" s="59">
        <f t="shared" si="14"/>
        <v>0.1079136690647482</v>
      </c>
      <c r="BD14" s="61" t="s">
        <v>69</v>
      </c>
      <c r="BE14" s="24">
        <f>TRFdata!J22</f>
        <v>2.6541666666666668</v>
      </c>
      <c r="BF14" s="60">
        <f t="shared" si="15"/>
        <v>0.11158798283261803</v>
      </c>
      <c r="BH14" s="61" t="s">
        <v>60</v>
      </c>
      <c r="BI14" s="24">
        <f>TRFdata!K11</f>
        <v>2.9</v>
      </c>
      <c r="BJ14" s="59">
        <f t="shared" si="16"/>
        <v>2.5316455696202531E-2</v>
      </c>
      <c r="BK14" s="61" t="s">
        <v>69</v>
      </c>
      <c r="BL14" s="24">
        <f>TRFdata!K22</f>
        <v>5.8</v>
      </c>
      <c r="BM14" s="60">
        <f t="shared" si="17"/>
        <v>4.0816326530612249E-2</v>
      </c>
      <c r="BO14" s="61" t="s">
        <v>60</v>
      </c>
      <c r="BP14" s="24">
        <f>TRFdata!L11</f>
        <v>5.8</v>
      </c>
      <c r="BQ14" s="59">
        <f t="shared" si="18"/>
        <v>3.8834951456310683E-2</v>
      </c>
      <c r="BR14" s="61" t="s">
        <v>69</v>
      </c>
      <c r="BS14" s="24">
        <f>TRFdata!L22</f>
        <v>4.3499999999999996</v>
      </c>
      <c r="BT14" s="60">
        <f t="shared" si="19"/>
        <v>2.9702970297029702E-2</v>
      </c>
      <c r="BV14" s="61" t="s">
        <v>60</v>
      </c>
      <c r="BW14" s="24">
        <f>TRFdata!M11</f>
        <v>4.6399999999999997</v>
      </c>
      <c r="BX14" s="59">
        <f t="shared" si="20"/>
        <v>3.9800995024875621E-2</v>
      </c>
      <c r="BY14" s="61" t="s">
        <v>69</v>
      </c>
      <c r="BZ14" s="24">
        <f>TRFdata!M22</f>
        <v>6.38</v>
      </c>
      <c r="CA14" s="60">
        <f t="shared" si="21"/>
        <v>5.3593179049939099E-2</v>
      </c>
      <c r="CC14" s="61" t="s">
        <v>60</v>
      </c>
      <c r="CD14" s="24">
        <f>TRFdata!N11</f>
        <v>3.625</v>
      </c>
      <c r="CE14" s="59">
        <f t="shared" si="22"/>
        <v>0.1079136690647482</v>
      </c>
      <c r="CF14" s="61" t="s">
        <v>69</v>
      </c>
      <c r="CG14" s="24">
        <f>TRFdata!N22</f>
        <v>3.1416666666666662</v>
      </c>
      <c r="CH14" s="60">
        <f t="shared" si="23"/>
        <v>0.111587982832618</v>
      </c>
      <c r="CJ14" s="61" t="s">
        <v>60</v>
      </c>
      <c r="CK14" s="24">
        <v>50</v>
      </c>
      <c r="CL14" s="59">
        <f t="shared" si="24"/>
        <v>6.8965517241379309E-2</v>
      </c>
      <c r="CM14" s="61" t="s">
        <v>69</v>
      </c>
      <c r="CN14" s="24">
        <v>50</v>
      </c>
      <c r="CO14" s="60">
        <f t="shared" si="25"/>
        <v>6.8965517241379309E-2</v>
      </c>
      <c r="CQ14" s="61" t="s">
        <v>60</v>
      </c>
      <c r="CR14" s="24">
        <v>50</v>
      </c>
      <c r="CS14" s="59">
        <f t="shared" si="26"/>
        <v>6.8965517241379309E-2</v>
      </c>
      <c r="CT14" s="61" t="s">
        <v>69</v>
      </c>
      <c r="CU14" s="24">
        <v>50</v>
      </c>
      <c r="CV14" s="60">
        <f t="shared" si="27"/>
        <v>6.8965517241379309E-2</v>
      </c>
      <c r="CX14" s="61" t="s">
        <v>60</v>
      </c>
      <c r="CY14" s="24">
        <v>50</v>
      </c>
      <c r="CZ14" s="59">
        <f t="shared" si="28"/>
        <v>6.8965517241379309E-2</v>
      </c>
      <c r="DA14" s="61" t="s">
        <v>69</v>
      </c>
      <c r="DB14" s="24">
        <v>50</v>
      </c>
      <c r="DC14" s="60">
        <f t="shared" si="29"/>
        <v>6.8965517241379309E-2</v>
      </c>
      <c r="DE14" s="61" t="s">
        <v>60</v>
      </c>
      <c r="DF14" s="24">
        <v>50</v>
      </c>
      <c r="DG14" s="59">
        <f t="shared" si="30"/>
        <v>6.8965517241379309E-2</v>
      </c>
      <c r="DH14" s="61" t="s">
        <v>69</v>
      </c>
      <c r="DI14" s="24">
        <v>50</v>
      </c>
      <c r="DJ14" s="60">
        <f t="shared" si="31"/>
        <v>6.8965517241379309E-2</v>
      </c>
      <c r="DL14" s="61" t="s">
        <v>60</v>
      </c>
      <c r="DM14" s="24">
        <v>50</v>
      </c>
      <c r="DN14" s="59">
        <f t="shared" si="32"/>
        <v>6.8965517241379309E-2</v>
      </c>
      <c r="DO14" s="61" t="s">
        <v>69</v>
      </c>
      <c r="DP14" s="24">
        <v>50</v>
      </c>
      <c r="DQ14" s="60">
        <f t="shared" si="33"/>
        <v>6.8965517241379309E-2</v>
      </c>
      <c r="DS14" s="61" t="s">
        <v>60</v>
      </c>
      <c r="DT14" s="24">
        <v>50</v>
      </c>
      <c r="DU14" s="59">
        <f t="shared" si="34"/>
        <v>6.8965517241379309E-2</v>
      </c>
      <c r="DV14" s="61" t="s">
        <v>69</v>
      </c>
      <c r="DW14" s="24">
        <v>50</v>
      </c>
      <c r="DX14" s="60">
        <f t="shared" si="35"/>
        <v>6.8965517241379309E-2</v>
      </c>
      <c r="DZ14" s="61" t="s">
        <v>60</v>
      </c>
      <c r="EA14" s="24">
        <v>50</v>
      </c>
      <c r="EB14" s="59">
        <f t="shared" si="36"/>
        <v>6.8965517241379309E-2</v>
      </c>
      <c r="EC14" s="61" t="s">
        <v>69</v>
      </c>
      <c r="ED14" s="24">
        <v>50</v>
      </c>
      <c r="EE14" s="60">
        <f t="shared" si="37"/>
        <v>6.8965517241379309E-2</v>
      </c>
      <c r="EG14" s="61" t="s">
        <v>60</v>
      </c>
      <c r="EH14" s="24">
        <v>50</v>
      </c>
      <c r="EI14" s="59">
        <f t="shared" si="38"/>
        <v>6.8965517241379309E-2</v>
      </c>
      <c r="EJ14" s="61" t="s">
        <v>69</v>
      </c>
      <c r="EK14" s="24">
        <v>50</v>
      </c>
      <c r="EL14" s="60">
        <f t="shared" si="39"/>
        <v>6.8965517241379309E-2</v>
      </c>
      <c r="EN14" s="61" t="s">
        <v>60</v>
      </c>
      <c r="EO14" s="24">
        <v>50</v>
      </c>
      <c r="EP14" s="59">
        <f t="shared" si="40"/>
        <v>6.9444444444444448E-2</v>
      </c>
      <c r="EQ14" s="61" t="s">
        <v>69</v>
      </c>
      <c r="ER14" s="24">
        <v>50</v>
      </c>
      <c r="ES14" s="60">
        <f t="shared" si="41"/>
        <v>6.9444444444444448E-2</v>
      </c>
      <c r="EU14" s="61" t="s">
        <v>60</v>
      </c>
      <c r="EV14" s="24">
        <v>50</v>
      </c>
      <c r="EW14" s="59">
        <f t="shared" si="42"/>
        <v>6.9444444444444448E-2</v>
      </c>
      <c r="EX14" s="61" t="s">
        <v>69</v>
      </c>
      <c r="EY14" s="24">
        <v>50</v>
      </c>
      <c r="EZ14" s="60">
        <f t="shared" si="43"/>
        <v>6.9444444444444448E-2</v>
      </c>
      <c r="FB14" s="61" t="s">
        <v>60</v>
      </c>
      <c r="FC14" s="24">
        <v>50</v>
      </c>
      <c r="FD14" s="59">
        <f t="shared" si="44"/>
        <v>6.9444444444444448E-2</v>
      </c>
      <c r="FE14" s="61" t="s">
        <v>69</v>
      </c>
      <c r="FF14" s="24">
        <v>50</v>
      </c>
      <c r="FG14" s="60">
        <f t="shared" si="45"/>
        <v>6.9444444444444448E-2</v>
      </c>
      <c r="FI14" s="61" t="s">
        <v>60</v>
      </c>
      <c r="FJ14" s="24">
        <v>50</v>
      </c>
      <c r="FK14" s="59">
        <f t="shared" si="46"/>
        <v>6.9444444444444448E-2</v>
      </c>
      <c r="FL14" s="61" t="s">
        <v>69</v>
      </c>
      <c r="FM14" s="24">
        <v>50</v>
      </c>
      <c r="FN14" s="60">
        <f t="shared" si="47"/>
        <v>6.9444444444444448E-2</v>
      </c>
      <c r="FP14" s="61" t="s">
        <v>60</v>
      </c>
      <c r="FQ14" s="24">
        <v>50</v>
      </c>
      <c r="FR14" s="59">
        <f t="shared" si="48"/>
        <v>6.9444444444444448E-2</v>
      </c>
      <c r="FS14" s="61" t="s">
        <v>69</v>
      </c>
      <c r="FT14" s="24">
        <v>50</v>
      </c>
      <c r="FU14" s="60">
        <f t="shared" si="49"/>
        <v>6.9444444444444448E-2</v>
      </c>
      <c r="FW14" s="61" t="s">
        <v>60</v>
      </c>
      <c r="FX14" s="24">
        <v>50</v>
      </c>
      <c r="FY14" s="59">
        <f t="shared" si="50"/>
        <v>6.9444444444444448E-2</v>
      </c>
      <c r="FZ14" s="61" t="s">
        <v>69</v>
      </c>
      <c r="GA14" s="24">
        <v>50</v>
      </c>
      <c r="GB14" s="60">
        <f t="shared" si="51"/>
        <v>6.9444444444444448E-2</v>
      </c>
      <c r="GD14" s="61" t="s">
        <v>60</v>
      </c>
      <c r="GE14" s="24">
        <v>50</v>
      </c>
      <c r="GF14" s="59">
        <f t="shared" si="52"/>
        <v>6.9444444444444448E-2</v>
      </c>
      <c r="GG14" s="61" t="s">
        <v>69</v>
      </c>
      <c r="GH14" s="24">
        <v>50</v>
      </c>
      <c r="GI14" s="60">
        <f t="shared" si="53"/>
        <v>6.9444444444444448E-2</v>
      </c>
      <c r="GK14" s="61" t="s">
        <v>60</v>
      </c>
      <c r="GL14" s="24">
        <v>50</v>
      </c>
      <c r="GM14" s="59">
        <f t="shared" si="54"/>
        <v>6.9444444444444448E-2</v>
      </c>
      <c r="GN14" s="61" t="s">
        <v>69</v>
      </c>
      <c r="GO14" s="24">
        <v>50</v>
      </c>
      <c r="GP14" s="60">
        <f t="shared" si="55"/>
        <v>6.9444444444444448E-2</v>
      </c>
      <c r="GR14" s="61" t="s">
        <v>60</v>
      </c>
      <c r="GS14" s="24">
        <v>50</v>
      </c>
      <c r="GT14" s="59">
        <f t="shared" si="56"/>
        <v>6.9444444444444448E-2</v>
      </c>
      <c r="GU14" s="61" t="s">
        <v>69</v>
      </c>
      <c r="GV14" s="24">
        <v>50</v>
      </c>
      <c r="GW14" s="60">
        <f t="shared" si="57"/>
        <v>6.9444444444444448E-2</v>
      </c>
      <c r="GY14" s="61" t="s">
        <v>60</v>
      </c>
      <c r="GZ14" s="24">
        <v>50</v>
      </c>
      <c r="HA14" s="59">
        <f t="shared" si="58"/>
        <v>6.9444444444444448E-2</v>
      </c>
      <c r="HB14" s="61" t="s">
        <v>69</v>
      </c>
      <c r="HC14" s="24">
        <v>50</v>
      </c>
      <c r="HD14" s="60">
        <f t="shared" si="59"/>
        <v>6.9444444444444448E-2</v>
      </c>
      <c r="HF14" s="61" t="s">
        <v>60</v>
      </c>
      <c r="HG14" s="24">
        <v>50</v>
      </c>
      <c r="HH14" s="59">
        <f t="shared" si="60"/>
        <v>6.9444444444444448E-2</v>
      </c>
      <c r="HI14" s="61" t="s">
        <v>69</v>
      </c>
      <c r="HJ14" s="24">
        <v>50</v>
      </c>
      <c r="HK14" s="60">
        <f t="shared" si="61"/>
        <v>6.9444444444444448E-2</v>
      </c>
      <c r="HM14" s="61" t="s">
        <v>60</v>
      </c>
      <c r="HN14" s="24">
        <v>50</v>
      </c>
      <c r="HO14" s="59">
        <f t="shared" si="62"/>
        <v>6.9444444444444448E-2</v>
      </c>
      <c r="HP14" s="61" t="s">
        <v>69</v>
      </c>
      <c r="HQ14" s="24">
        <v>50</v>
      </c>
      <c r="HR14" s="60">
        <f t="shared" si="63"/>
        <v>6.9444444444444448E-2</v>
      </c>
      <c r="HT14" s="61" t="s">
        <v>60</v>
      </c>
      <c r="HU14" s="24">
        <v>50</v>
      </c>
      <c r="HV14" s="59">
        <f t="shared" si="64"/>
        <v>6.9444444444444448E-2</v>
      </c>
      <c r="HW14" s="61" t="s">
        <v>69</v>
      </c>
      <c r="HX14" s="24">
        <v>50</v>
      </c>
      <c r="HY14" s="60">
        <f t="shared" si="65"/>
        <v>6.9444444444444448E-2</v>
      </c>
      <c r="IA14" s="61" t="s">
        <v>60</v>
      </c>
      <c r="IB14" s="24">
        <v>50</v>
      </c>
      <c r="IC14" s="59">
        <f t="shared" si="66"/>
        <v>6.9444444444444448E-2</v>
      </c>
      <c r="ID14" s="61" t="s">
        <v>69</v>
      </c>
      <c r="IE14" s="24">
        <v>50</v>
      </c>
      <c r="IF14" s="60">
        <f t="shared" si="67"/>
        <v>6.9444444444444448E-2</v>
      </c>
      <c r="IH14" s="61" t="s">
        <v>60</v>
      </c>
      <c r="II14" s="24">
        <v>50</v>
      </c>
      <c r="IJ14" s="59">
        <f t="shared" si="68"/>
        <v>6.9444444444444448E-2</v>
      </c>
      <c r="IK14" s="61" t="s">
        <v>69</v>
      </c>
      <c r="IL14" s="24">
        <v>50</v>
      </c>
      <c r="IM14" s="60">
        <f t="shared" si="69"/>
        <v>6.9444444444444448E-2</v>
      </c>
      <c r="IO14" s="61" t="s">
        <v>60</v>
      </c>
      <c r="IP14" s="24">
        <v>50</v>
      </c>
      <c r="IQ14" s="59">
        <f t="shared" si="70"/>
        <v>6.9444444444444448E-2</v>
      </c>
      <c r="IR14" s="61" t="s">
        <v>69</v>
      </c>
      <c r="IS14" s="24">
        <v>50</v>
      </c>
      <c r="IT14" s="60">
        <f t="shared" si="71"/>
        <v>6.9444444444444448E-2</v>
      </c>
    </row>
    <row r="15" spans="1:254" x14ac:dyDescent="0.2">
      <c r="D15" s="61" t="s">
        <v>61</v>
      </c>
      <c r="E15" s="24">
        <f>TRFdata!C12</f>
        <v>4</v>
      </c>
      <c r="F15" s="59">
        <f t="shared" si="0"/>
        <v>5.0632911392405063E-2</v>
      </c>
      <c r="G15" s="61" t="s">
        <v>70</v>
      </c>
      <c r="H15" s="24">
        <f>TRFdata!C23</f>
        <v>6</v>
      </c>
      <c r="I15" s="60">
        <f t="shared" si="1"/>
        <v>6.1224489795918366E-2</v>
      </c>
      <c r="K15" s="61" t="s">
        <v>61</v>
      </c>
      <c r="L15" s="24">
        <f>TRFdata!D12</f>
        <v>5</v>
      </c>
      <c r="M15" s="59">
        <f t="shared" si="2"/>
        <v>4.8543689320388349E-2</v>
      </c>
      <c r="N15" s="61" t="s">
        <v>70</v>
      </c>
      <c r="O15" s="24">
        <f>TRFdata!D23</f>
        <v>6</v>
      </c>
      <c r="P15" s="60">
        <f t="shared" si="3"/>
        <v>5.9405940594059403E-2</v>
      </c>
      <c r="R15" s="61" t="s">
        <v>61</v>
      </c>
      <c r="S15" s="24">
        <f>TRFdata!E12</f>
        <v>4.3</v>
      </c>
      <c r="T15" s="59">
        <f t="shared" si="4"/>
        <v>5.3482587064676623E-2</v>
      </c>
      <c r="U15" s="61" t="s">
        <v>70</v>
      </c>
      <c r="V15" s="24">
        <f>TRFdata!E23</f>
        <v>5.3</v>
      </c>
      <c r="W15" s="60">
        <f t="shared" si="5"/>
        <v>6.4555420219244819E-2</v>
      </c>
      <c r="Y15" s="61" t="s">
        <v>61</v>
      </c>
      <c r="Z15" s="24">
        <f>TRFdata!F12</f>
        <v>4.583333333333333</v>
      </c>
      <c r="AA15" s="59">
        <f t="shared" si="6"/>
        <v>0.197841726618705</v>
      </c>
      <c r="AB15" s="61" t="s">
        <v>70</v>
      </c>
      <c r="AC15" s="24">
        <f>TRFdata!F23</f>
        <v>4.25</v>
      </c>
      <c r="AD15" s="60">
        <f t="shared" si="7"/>
        <v>0.21888412017167386</v>
      </c>
      <c r="AF15" s="61" t="s">
        <v>61</v>
      </c>
      <c r="AG15" s="24">
        <f>TRFdata!G12</f>
        <v>4.9000000000000004</v>
      </c>
      <c r="AH15" s="59">
        <f t="shared" si="8"/>
        <v>5.0632911392405063E-2</v>
      </c>
      <c r="AI15" s="61" t="s">
        <v>70</v>
      </c>
      <c r="AJ15" s="24">
        <f>TRFdata!G23</f>
        <v>7.3500000000000005</v>
      </c>
      <c r="AK15" s="60">
        <f t="shared" si="9"/>
        <v>6.1224489795918373E-2</v>
      </c>
      <c r="AM15" s="61" t="s">
        <v>61</v>
      </c>
      <c r="AN15" s="24">
        <f>TRFdata!H12</f>
        <v>6.125</v>
      </c>
      <c r="AO15" s="59">
        <f t="shared" si="10"/>
        <v>4.8543689320388342E-2</v>
      </c>
      <c r="AP15" s="61" t="s">
        <v>70</v>
      </c>
      <c r="AQ15" s="24">
        <f>TRFdata!H23</f>
        <v>7.3500000000000005</v>
      </c>
      <c r="AR15" s="60">
        <f t="shared" si="11"/>
        <v>5.940594059405941E-2</v>
      </c>
      <c r="AT15" s="61" t="s">
        <v>61</v>
      </c>
      <c r="AU15" s="24">
        <f>TRFdata!I12</f>
        <v>5.2675000000000001</v>
      </c>
      <c r="AV15" s="59">
        <f t="shared" si="12"/>
        <v>5.3482587064676609E-2</v>
      </c>
      <c r="AW15" s="61" t="s">
        <v>70</v>
      </c>
      <c r="AX15" s="24">
        <f>TRFdata!I23</f>
        <v>6.4925000000000006</v>
      </c>
      <c r="AY15" s="60">
        <f t="shared" si="13"/>
        <v>6.4555420219244833E-2</v>
      </c>
      <c r="BA15" s="61" t="s">
        <v>61</v>
      </c>
      <c r="BB15" s="24">
        <f>TRFdata!J12</f>
        <v>5.614583333333333</v>
      </c>
      <c r="BC15" s="59">
        <f t="shared" si="14"/>
        <v>0.19784172661870503</v>
      </c>
      <c r="BD15" s="61" t="s">
        <v>70</v>
      </c>
      <c r="BE15" s="24">
        <f>TRFdata!J23</f>
        <v>5.2062500000000007</v>
      </c>
      <c r="BF15" s="60">
        <f t="shared" si="15"/>
        <v>0.21888412017167386</v>
      </c>
      <c r="BH15" s="61" t="s">
        <v>61</v>
      </c>
      <c r="BI15" s="24">
        <f>TRFdata!K12</f>
        <v>5.8</v>
      </c>
      <c r="BJ15" s="59">
        <f t="shared" si="16"/>
        <v>5.0632911392405063E-2</v>
      </c>
      <c r="BK15" s="61" t="s">
        <v>70</v>
      </c>
      <c r="BL15" s="24">
        <f>TRFdata!K23</f>
        <v>8.6999999999999993</v>
      </c>
      <c r="BM15" s="60">
        <f t="shared" si="17"/>
        <v>6.1224489795918366E-2</v>
      </c>
      <c r="BO15" s="61" t="s">
        <v>61</v>
      </c>
      <c r="BP15" s="24">
        <f>TRFdata!L12</f>
        <v>7.25</v>
      </c>
      <c r="BQ15" s="59">
        <f t="shared" si="18"/>
        <v>4.8543689320388349E-2</v>
      </c>
      <c r="BR15" s="61" t="s">
        <v>70</v>
      </c>
      <c r="BS15" s="24">
        <f>TRFdata!L23</f>
        <v>8.6999999999999993</v>
      </c>
      <c r="BT15" s="60">
        <f t="shared" si="19"/>
        <v>5.9405940594059403E-2</v>
      </c>
      <c r="BV15" s="61" t="s">
        <v>61</v>
      </c>
      <c r="BW15" s="24">
        <f>TRFdata!M12</f>
        <v>6.2349999999999994</v>
      </c>
      <c r="BX15" s="59">
        <f t="shared" si="20"/>
        <v>5.3482587064676616E-2</v>
      </c>
      <c r="BY15" s="61" t="s">
        <v>70</v>
      </c>
      <c r="BZ15" s="24">
        <f>TRFdata!M23</f>
        <v>7.6849999999999996</v>
      </c>
      <c r="CA15" s="60">
        <f t="shared" si="21"/>
        <v>6.4555420219244819E-2</v>
      </c>
      <c r="CC15" s="61" t="s">
        <v>61</v>
      </c>
      <c r="CD15" s="24">
        <f>TRFdata!N12</f>
        <v>6.645833333333333</v>
      </c>
      <c r="CE15" s="59">
        <f t="shared" si="22"/>
        <v>0.19784172661870503</v>
      </c>
      <c r="CF15" s="61" t="s">
        <v>70</v>
      </c>
      <c r="CG15" s="24">
        <f>TRFdata!N23</f>
        <v>6.1624999999999996</v>
      </c>
      <c r="CH15" s="60">
        <f t="shared" si="23"/>
        <v>0.2188841201716738</v>
      </c>
      <c r="CJ15" s="61" t="s">
        <v>61</v>
      </c>
      <c r="CK15" s="24">
        <v>20</v>
      </c>
      <c r="CL15" s="59">
        <f t="shared" si="24"/>
        <v>2.7586206896551724E-2</v>
      </c>
      <c r="CM15" s="61" t="s">
        <v>70</v>
      </c>
      <c r="CN15" s="24">
        <v>20</v>
      </c>
      <c r="CO15" s="60">
        <f t="shared" si="25"/>
        <v>2.7586206896551724E-2</v>
      </c>
      <c r="CQ15" s="61" t="s">
        <v>61</v>
      </c>
      <c r="CR15" s="24">
        <v>20</v>
      </c>
      <c r="CS15" s="59">
        <f t="shared" si="26"/>
        <v>2.7586206896551724E-2</v>
      </c>
      <c r="CT15" s="61" t="s">
        <v>70</v>
      </c>
      <c r="CU15" s="24">
        <v>20</v>
      </c>
      <c r="CV15" s="60">
        <f t="shared" si="27"/>
        <v>2.7586206896551724E-2</v>
      </c>
      <c r="CX15" s="61" t="s">
        <v>61</v>
      </c>
      <c r="CY15" s="24">
        <v>20</v>
      </c>
      <c r="CZ15" s="59">
        <f t="shared" si="28"/>
        <v>2.7586206896551724E-2</v>
      </c>
      <c r="DA15" s="61" t="s">
        <v>70</v>
      </c>
      <c r="DB15" s="24">
        <v>20</v>
      </c>
      <c r="DC15" s="60">
        <f t="shared" si="29"/>
        <v>2.7586206896551724E-2</v>
      </c>
      <c r="DE15" s="61" t="s">
        <v>61</v>
      </c>
      <c r="DF15" s="24">
        <v>20</v>
      </c>
      <c r="DG15" s="59">
        <f t="shared" si="30"/>
        <v>2.7586206896551724E-2</v>
      </c>
      <c r="DH15" s="61" t="s">
        <v>70</v>
      </c>
      <c r="DI15" s="24">
        <v>20</v>
      </c>
      <c r="DJ15" s="60">
        <f t="shared" si="31"/>
        <v>2.7586206896551724E-2</v>
      </c>
      <c r="DL15" s="61" t="s">
        <v>61</v>
      </c>
      <c r="DM15" s="24">
        <v>20</v>
      </c>
      <c r="DN15" s="59">
        <f t="shared" si="32"/>
        <v>2.7586206896551724E-2</v>
      </c>
      <c r="DO15" s="61" t="s">
        <v>70</v>
      </c>
      <c r="DP15" s="24">
        <v>20</v>
      </c>
      <c r="DQ15" s="60">
        <f t="shared" si="33"/>
        <v>2.7586206896551724E-2</v>
      </c>
      <c r="DS15" s="61" t="s">
        <v>61</v>
      </c>
      <c r="DT15" s="24">
        <v>20</v>
      </c>
      <c r="DU15" s="59">
        <f t="shared" si="34"/>
        <v>2.7586206896551724E-2</v>
      </c>
      <c r="DV15" s="61" t="s">
        <v>70</v>
      </c>
      <c r="DW15" s="24">
        <v>20</v>
      </c>
      <c r="DX15" s="60">
        <f t="shared" si="35"/>
        <v>2.7586206896551724E-2</v>
      </c>
      <c r="DZ15" s="61" t="s">
        <v>61</v>
      </c>
      <c r="EA15" s="24">
        <v>20</v>
      </c>
      <c r="EB15" s="59">
        <f t="shared" si="36"/>
        <v>2.7586206896551724E-2</v>
      </c>
      <c r="EC15" s="61" t="s">
        <v>70</v>
      </c>
      <c r="ED15" s="24">
        <v>20</v>
      </c>
      <c r="EE15" s="60">
        <f t="shared" si="37"/>
        <v>2.7586206896551724E-2</v>
      </c>
      <c r="EG15" s="61" t="s">
        <v>61</v>
      </c>
      <c r="EH15" s="24">
        <v>20</v>
      </c>
      <c r="EI15" s="59">
        <f t="shared" si="38"/>
        <v>2.7586206896551724E-2</v>
      </c>
      <c r="EJ15" s="61" t="s">
        <v>70</v>
      </c>
      <c r="EK15" s="24">
        <v>20</v>
      </c>
      <c r="EL15" s="60">
        <f t="shared" si="39"/>
        <v>2.7586206896551724E-2</v>
      </c>
      <c r="EN15" s="61" t="s">
        <v>61</v>
      </c>
      <c r="EO15" s="24">
        <v>20</v>
      </c>
      <c r="EP15" s="59">
        <f t="shared" si="40"/>
        <v>2.7777777777777776E-2</v>
      </c>
      <c r="EQ15" s="61" t="s">
        <v>70</v>
      </c>
      <c r="ER15" s="24">
        <v>20</v>
      </c>
      <c r="ES15" s="60">
        <f t="shared" si="41"/>
        <v>2.7777777777777776E-2</v>
      </c>
      <c r="EU15" s="61" t="s">
        <v>61</v>
      </c>
      <c r="EV15" s="24">
        <v>20</v>
      </c>
      <c r="EW15" s="59">
        <f t="shared" si="42"/>
        <v>2.7777777777777776E-2</v>
      </c>
      <c r="EX15" s="61" t="s">
        <v>70</v>
      </c>
      <c r="EY15" s="24">
        <v>20</v>
      </c>
      <c r="EZ15" s="60">
        <f t="shared" si="43"/>
        <v>2.7777777777777776E-2</v>
      </c>
      <c r="FB15" s="61" t="s">
        <v>61</v>
      </c>
      <c r="FC15" s="24">
        <v>20</v>
      </c>
      <c r="FD15" s="59">
        <f t="shared" si="44"/>
        <v>2.7777777777777776E-2</v>
      </c>
      <c r="FE15" s="61" t="s">
        <v>70</v>
      </c>
      <c r="FF15" s="24">
        <v>20</v>
      </c>
      <c r="FG15" s="60">
        <f t="shared" si="45"/>
        <v>2.7777777777777776E-2</v>
      </c>
      <c r="FI15" s="61" t="s">
        <v>61</v>
      </c>
      <c r="FJ15" s="24">
        <v>20</v>
      </c>
      <c r="FK15" s="59">
        <f t="shared" si="46"/>
        <v>2.7777777777777776E-2</v>
      </c>
      <c r="FL15" s="61" t="s">
        <v>70</v>
      </c>
      <c r="FM15" s="24">
        <v>20</v>
      </c>
      <c r="FN15" s="60">
        <f t="shared" si="47"/>
        <v>2.7777777777777776E-2</v>
      </c>
      <c r="FP15" s="61" t="s">
        <v>61</v>
      </c>
      <c r="FQ15" s="24">
        <v>20</v>
      </c>
      <c r="FR15" s="59">
        <f t="shared" si="48"/>
        <v>2.7777777777777776E-2</v>
      </c>
      <c r="FS15" s="61" t="s">
        <v>70</v>
      </c>
      <c r="FT15" s="24">
        <v>20</v>
      </c>
      <c r="FU15" s="60">
        <f t="shared" si="49"/>
        <v>2.7777777777777776E-2</v>
      </c>
      <c r="FW15" s="61" t="s">
        <v>61</v>
      </c>
      <c r="FX15" s="24">
        <v>20</v>
      </c>
      <c r="FY15" s="59">
        <f t="shared" si="50"/>
        <v>2.7777777777777776E-2</v>
      </c>
      <c r="FZ15" s="61" t="s">
        <v>70</v>
      </c>
      <c r="GA15" s="24">
        <v>20</v>
      </c>
      <c r="GB15" s="60">
        <f t="shared" si="51"/>
        <v>2.7777777777777776E-2</v>
      </c>
      <c r="GD15" s="61" t="s">
        <v>61</v>
      </c>
      <c r="GE15" s="24">
        <v>20</v>
      </c>
      <c r="GF15" s="59">
        <f t="shared" si="52"/>
        <v>2.7777777777777776E-2</v>
      </c>
      <c r="GG15" s="61" t="s">
        <v>70</v>
      </c>
      <c r="GH15" s="24">
        <v>20</v>
      </c>
      <c r="GI15" s="60">
        <f t="shared" si="53"/>
        <v>2.7777777777777776E-2</v>
      </c>
      <c r="GK15" s="61" t="s">
        <v>61</v>
      </c>
      <c r="GL15" s="24">
        <v>20</v>
      </c>
      <c r="GM15" s="59">
        <f t="shared" si="54"/>
        <v>2.7777777777777776E-2</v>
      </c>
      <c r="GN15" s="61" t="s">
        <v>70</v>
      </c>
      <c r="GO15" s="24">
        <v>20</v>
      </c>
      <c r="GP15" s="60">
        <f t="shared" si="55"/>
        <v>2.7777777777777776E-2</v>
      </c>
      <c r="GR15" s="61" t="s">
        <v>61</v>
      </c>
      <c r="GS15" s="24">
        <v>20</v>
      </c>
      <c r="GT15" s="59">
        <f t="shared" si="56"/>
        <v>2.7777777777777776E-2</v>
      </c>
      <c r="GU15" s="61" t="s">
        <v>70</v>
      </c>
      <c r="GV15" s="24">
        <v>20</v>
      </c>
      <c r="GW15" s="60">
        <f t="shared" si="57"/>
        <v>2.7777777777777776E-2</v>
      </c>
      <c r="GY15" s="61" t="s">
        <v>61</v>
      </c>
      <c r="GZ15" s="24">
        <v>20</v>
      </c>
      <c r="HA15" s="59">
        <f t="shared" si="58"/>
        <v>2.7777777777777776E-2</v>
      </c>
      <c r="HB15" s="61" t="s">
        <v>70</v>
      </c>
      <c r="HC15" s="24">
        <v>20</v>
      </c>
      <c r="HD15" s="60">
        <f t="shared" si="59"/>
        <v>2.7777777777777776E-2</v>
      </c>
      <c r="HF15" s="61" t="s">
        <v>61</v>
      </c>
      <c r="HG15" s="24">
        <v>20</v>
      </c>
      <c r="HH15" s="59">
        <f t="shared" si="60"/>
        <v>2.7777777777777776E-2</v>
      </c>
      <c r="HI15" s="61" t="s">
        <v>70</v>
      </c>
      <c r="HJ15" s="24">
        <v>20</v>
      </c>
      <c r="HK15" s="60">
        <f t="shared" si="61"/>
        <v>2.7777777777777776E-2</v>
      </c>
      <c r="HM15" s="61" t="s">
        <v>61</v>
      </c>
      <c r="HN15" s="24">
        <v>20</v>
      </c>
      <c r="HO15" s="59">
        <f t="shared" si="62"/>
        <v>2.7777777777777776E-2</v>
      </c>
      <c r="HP15" s="61" t="s">
        <v>70</v>
      </c>
      <c r="HQ15" s="24">
        <v>20</v>
      </c>
      <c r="HR15" s="60">
        <f t="shared" si="63"/>
        <v>2.7777777777777776E-2</v>
      </c>
      <c r="HT15" s="61" t="s">
        <v>61</v>
      </c>
      <c r="HU15" s="24">
        <v>20</v>
      </c>
      <c r="HV15" s="59">
        <f t="shared" si="64"/>
        <v>2.7777777777777776E-2</v>
      </c>
      <c r="HW15" s="61" t="s">
        <v>70</v>
      </c>
      <c r="HX15" s="24">
        <v>20</v>
      </c>
      <c r="HY15" s="60">
        <f t="shared" si="65"/>
        <v>2.7777777777777776E-2</v>
      </c>
      <c r="IA15" s="61" t="s">
        <v>61</v>
      </c>
      <c r="IB15" s="24">
        <v>20</v>
      </c>
      <c r="IC15" s="59">
        <f t="shared" si="66"/>
        <v>2.7777777777777776E-2</v>
      </c>
      <c r="ID15" s="61" t="s">
        <v>70</v>
      </c>
      <c r="IE15" s="24">
        <v>20</v>
      </c>
      <c r="IF15" s="60">
        <f t="shared" si="67"/>
        <v>2.7777777777777776E-2</v>
      </c>
      <c r="IH15" s="61" t="s">
        <v>61</v>
      </c>
      <c r="II15" s="24">
        <v>20</v>
      </c>
      <c r="IJ15" s="59">
        <f t="shared" si="68"/>
        <v>2.7777777777777776E-2</v>
      </c>
      <c r="IK15" s="61" t="s">
        <v>70</v>
      </c>
      <c r="IL15" s="24">
        <v>20</v>
      </c>
      <c r="IM15" s="60">
        <f t="shared" si="69"/>
        <v>2.7777777777777776E-2</v>
      </c>
      <c r="IO15" s="61" t="s">
        <v>61</v>
      </c>
      <c r="IP15" s="24">
        <v>20</v>
      </c>
      <c r="IQ15" s="59">
        <f t="shared" si="70"/>
        <v>2.7777777777777776E-2</v>
      </c>
      <c r="IR15" s="61" t="s">
        <v>70</v>
      </c>
      <c r="IS15" s="24">
        <v>20</v>
      </c>
      <c r="IT15" s="60">
        <f t="shared" si="71"/>
        <v>2.7777777777777776E-2</v>
      </c>
    </row>
    <row r="16" spans="1:254" x14ac:dyDescent="0.2">
      <c r="D16" s="62" t="s">
        <v>62</v>
      </c>
      <c r="E16" s="24">
        <f>TRFdata!C13</f>
        <v>0</v>
      </c>
      <c r="F16" s="59">
        <f t="shared" si="0"/>
        <v>0</v>
      </c>
      <c r="G16" s="62" t="s">
        <v>71</v>
      </c>
      <c r="H16" s="24">
        <f>TRFdata!C24</f>
        <v>0</v>
      </c>
      <c r="I16" s="60">
        <f t="shared" si="1"/>
        <v>0</v>
      </c>
      <c r="K16" s="62" t="s">
        <v>62</v>
      </c>
      <c r="L16" s="24">
        <f>TRFdata!D13</f>
        <v>0</v>
      </c>
      <c r="M16" s="59">
        <f t="shared" si="2"/>
        <v>0</v>
      </c>
      <c r="N16" s="62" t="s">
        <v>71</v>
      </c>
      <c r="O16" s="24">
        <f>TRFdata!D24</f>
        <v>0</v>
      </c>
      <c r="P16" s="60">
        <f t="shared" si="3"/>
        <v>0</v>
      </c>
      <c r="R16" s="62" t="s">
        <v>62</v>
      </c>
      <c r="S16" s="24">
        <f>TRFdata!E13</f>
        <v>0</v>
      </c>
      <c r="T16" s="59">
        <f t="shared" si="4"/>
        <v>0</v>
      </c>
      <c r="U16" s="62" t="s">
        <v>71</v>
      </c>
      <c r="V16" s="24">
        <f>TRFdata!E24</f>
        <v>0</v>
      </c>
      <c r="W16" s="60">
        <f t="shared" si="5"/>
        <v>0</v>
      </c>
      <c r="Y16" s="62" t="s">
        <v>62</v>
      </c>
      <c r="Z16" s="24">
        <f>TRFdata!F13</f>
        <v>0</v>
      </c>
      <c r="AA16" s="59">
        <f t="shared" si="6"/>
        <v>0</v>
      </c>
      <c r="AB16" s="62" t="s">
        <v>71</v>
      </c>
      <c r="AC16" s="24">
        <f>TRFdata!F24</f>
        <v>0</v>
      </c>
      <c r="AD16" s="60">
        <f t="shared" si="7"/>
        <v>0</v>
      </c>
      <c r="AF16" s="62" t="s">
        <v>62</v>
      </c>
      <c r="AG16" s="24">
        <f>TRFdata!G13</f>
        <v>0</v>
      </c>
      <c r="AH16" s="59">
        <f t="shared" si="8"/>
        <v>0</v>
      </c>
      <c r="AI16" s="62" t="s">
        <v>71</v>
      </c>
      <c r="AJ16" s="24">
        <f>TRFdata!G24</f>
        <v>0</v>
      </c>
      <c r="AK16" s="60">
        <f t="shared" si="9"/>
        <v>0</v>
      </c>
      <c r="AM16" s="62" t="s">
        <v>62</v>
      </c>
      <c r="AN16" s="24">
        <f>TRFdata!H13</f>
        <v>0</v>
      </c>
      <c r="AO16" s="59">
        <f t="shared" si="10"/>
        <v>0</v>
      </c>
      <c r="AP16" s="62" t="s">
        <v>71</v>
      </c>
      <c r="AQ16" s="24">
        <f>TRFdata!H24</f>
        <v>0</v>
      </c>
      <c r="AR16" s="60">
        <f t="shared" si="11"/>
        <v>0</v>
      </c>
      <c r="AT16" s="62" t="s">
        <v>62</v>
      </c>
      <c r="AU16" s="24">
        <f>TRFdata!I13</f>
        <v>0</v>
      </c>
      <c r="AV16" s="59">
        <f t="shared" si="12"/>
        <v>0</v>
      </c>
      <c r="AW16" s="62" t="s">
        <v>71</v>
      </c>
      <c r="AX16" s="24">
        <f>TRFdata!I24</f>
        <v>0</v>
      </c>
      <c r="AY16" s="60">
        <f t="shared" si="13"/>
        <v>0</v>
      </c>
      <c r="BA16" s="62" t="s">
        <v>62</v>
      </c>
      <c r="BB16" s="24">
        <f>TRFdata!J13</f>
        <v>0</v>
      </c>
      <c r="BC16" s="59">
        <f t="shared" si="14"/>
        <v>0</v>
      </c>
      <c r="BD16" s="62" t="s">
        <v>71</v>
      </c>
      <c r="BE16" s="24">
        <f>TRFdata!J24</f>
        <v>0</v>
      </c>
      <c r="BF16" s="60">
        <f t="shared" si="15"/>
        <v>0</v>
      </c>
      <c r="BH16" s="62" t="s">
        <v>62</v>
      </c>
      <c r="BI16" s="24">
        <f>TRFdata!K13</f>
        <v>0</v>
      </c>
      <c r="BJ16" s="59">
        <f t="shared" si="16"/>
        <v>0</v>
      </c>
      <c r="BK16" s="62" t="s">
        <v>71</v>
      </c>
      <c r="BL16" s="24">
        <f>TRFdata!K24</f>
        <v>0</v>
      </c>
      <c r="BM16" s="60">
        <f t="shared" si="17"/>
        <v>0</v>
      </c>
      <c r="BO16" s="62" t="s">
        <v>62</v>
      </c>
      <c r="BP16" s="24">
        <f>TRFdata!L13</f>
        <v>0</v>
      </c>
      <c r="BQ16" s="59">
        <f t="shared" si="18"/>
        <v>0</v>
      </c>
      <c r="BR16" s="62" t="s">
        <v>71</v>
      </c>
      <c r="BS16" s="24">
        <f>TRFdata!L24</f>
        <v>0</v>
      </c>
      <c r="BT16" s="60">
        <f t="shared" si="19"/>
        <v>0</v>
      </c>
      <c r="BV16" s="62" t="s">
        <v>62</v>
      </c>
      <c r="BW16" s="24">
        <f>TRFdata!M13</f>
        <v>0</v>
      </c>
      <c r="BX16" s="59">
        <f t="shared" si="20"/>
        <v>0</v>
      </c>
      <c r="BY16" s="62" t="s">
        <v>71</v>
      </c>
      <c r="BZ16" s="24">
        <f>TRFdata!M24</f>
        <v>0</v>
      </c>
      <c r="CA16" s="60">
        <f t="shared" si="21"/>
        <v>0</v>
      </c>
      <c r="CC16" s="62" t="s">
        <v>62</v>
      </c>
      <c r="CD16" s="24">
        <f>TRFdata!N13</f>
        <v>0</v>
      </c>
      <c r="CE16" s="59">
        <f t="shared" si="22"/>
        <v>0</v>
      </c>
      <c r="CF16" s="62" t="s">
        <v>71</v>
      </c>
      <c r="CG16" s="24">
        <f>TRFdata!N24</f>
        <v>0</v>
      </c>
      <c r="CH16" s="60">
        <f t="shared" si="23"/>
        <v>0</v>
      </c>
      <c r="CJ16" s="62" t="s">
        <v>62</v>
      </c>
      <c r="CK16" s="63">
        <v>5</v>
      </c>
      <c r="CL16" s="59">
        <f t="shared" si="24"/>
        <v>6.8965517241379309E-3</v>
      </c>
      <c r="CM16" s="62" t="s">
        <v>71</v>
      </c>
      <c r="CN16" s="63">
        <v>5</v>
      </c>
      <c r="CO16" s="60">
        <f t="shared" si="25"/>
        <v>6.8965517241379309E-3</v>
      </c>
      <c r="CQ16" s="62" t="s">
        <v>62</v>
      </c>
      <c r="CR16" s="63">
        <v>5</v>
      </c>
      <c r="CS16" s="59">
        <f t="shared" si="26"/>
        <v>6.8965517241379309E-3</v>
      </c>
      <c r="CT16" s="62" t="s">
        <v>71</v>
      </c>
      <c r="CU16" s="63">
        <v>5</v>
      </c>
      <c r="CV16" s="60">
        <f t="shared" si="27"/>
        <v>6.8965517241379309E-3</v>
      </c>
      <c r="CX16" s="62" t="s">
        <v>62</v>
      </c>
      <c r="CY16" s="63">
        <v>5</v>
      </c>
      <c r="CZ16" s="59">
        <f t="shared" si="28"/>
        <v>6.8965517241379309E-3</v>
      </c>
      <c r="DA16" s="62" t="s">
        <v>71</v>
      </c>
      <c r="DB16" s="63">
        <v>5</v>
      </c>
      <c r="DC16" s="60">
        <f t="shared" si="29"/>
        <v>6.8965517241379309E-3</v>
      </c>
      <c r="DE16" s="62" t="s">
        <v>62</v>
      </c>
      <c r="DF16" s="63">
        <v>5</v>
      </c>
      <c r="DG16" s="59">
        <f t="shared" si="30"/>
        <v>6.8965517241379309E-3</v>
      </c>
      <c r="DH16" s="62" t="s">
        <v>71</v>
      </c>
      <c r="DI16" s="63">
        <v>5</v>
      </c>
      <c r="DJ16" s="60">
        <f t="shared" si="31"/>
        <v>6.8965517241379309E-3</v>
      </c>
      <c r="DL16" s="62" t="s">
        <v>62</v>
      </c>
      <c r="DM16" s="63">
        <v>5</v>
      </c>
      <c r="DN16" s="59">
        <f t="shared" si="32"/>
        <v>6.8965517241379309E-3</v>
      </c>
      <c r="DO16" s="62" t="s">
        <v>71</v>
      </c>
      <c r="DP16" s="63">
        <v>5</v>
      </c>
      <c r="DQ16" s="60">
        <f t="shared" si="33"/>
        <v>6.8965517241379309E-3</v>
      </c>
      <c r="DS16" s="62" t="s">
        <v>62</v>
      </c>
      <c r="DT16" s="63">
        <v>5</v>
      </c>
      <c r="DU16" s="59">
        <f t="shared" si="34"/>
        <v>6.8965517241379309E-3</v>
      </c>
      <c r="DV16" s="62" t="s">
        <v>71</v>
      </c>
      <c r="DW16" s="63">
        <v>5</v>
      </c>
      <c r="DX16" s="60">
        <f t="shared" si="35"/>
        <v>6.8965517241379309E-3</v>
      </c>
      <c r="DZ16" s="62" t="s">
        <v>62</v>
      </c>
      <c r="EA16" s="63">
        <v>5</v>
      </c>
      <c r="EB16" s="59">
        <f t="shared" si="36"/>
        <v>6.8965517241379309E-3</v>
      </c>
      <c r="EC16" s="62" t="s">
        <v>71</v>
      </c>
      <c r="ED16" s="63">
        <v>5</v>
      </c>
      <c r="EE16" s="60">
        <f t="shared" si="37"/>
        <v>6.8965517241379309E-3</v>
      </c>
      <c r="EG16" s="62" t="s">
        <v>62</v>
      </c>
      <c r="EH16" s="63">
        <v>5</v>
      </c>
      <c r="EI16" s="59">
        <f t="shared" si="38"/>
        <v>6.8965517241379309E-3</v>
      </c>
      <c r="EJ16" s="62" t="s">
        <v>71</v>
      </c>
      <c r="EK16" s="63">
        <v>5</v>
      </c>
      <c r="EL16" s="60">
        <f t="shared" si="39"/>
        <v>6.8965517241379309E-3</v>
      </c>
      <c r="EN16" s="62" t="s">
        <v>62</v>
      </c>
      <c r="EO16" s="63">
        <v>0</v>
      </c>
      <c r="EP16" s="59">
        <f t="shared" si="40"/>
        <v>0</v>
      </c>
      <c r="EQ16" s="62" t="s">
        <v>71</v>
      </c>
      <c r="ER16" s="63">
        <v>0</v>
      </c>
      <c r="ES16" s="60">
        <f t="shared" si="41"/>
        <v>0</v>
      </c>
      <c r="EU16" s="62" t="s">
        <v>62</v>
      </c>
      <c r="EV16" s="63">
        <v>0</v>
      </c>
      <c r="EW16" s="59">
        <f t="shared" si="42"/>
        <v>0</v>
      </c>
      <c r="EX16" s="62" t="s">
        <v>71</v>
      </c>
      <c r="EY16" s="63">
        <v>0</v>
      </c>
      <c r="EZ16" s="60">
        <f t="shared" si="43"/>
        <v>0</v>
      </c>
      <c r="FB16" s="62" t="s">
        <v>62</v>
      </c>
      <c r="FC16" s="63">
        <v>0</v>
      </c>
      <c r="FD16" s="59">
        <f t="shared" si="44"/>
        <v>0</v>
      </c>
      <c r="FE16" s="62" t="s">
        <v>71</v>
      </c>
      <c r="FF16" s="63">
        <v>0</v>
      </c>
      <c r="FG16" s="60">
        <f t="shared" si="45"/>
        <v>0</v>
      </c>
      <c r="FI16" s="62" t="s">
        <v>62</v>
      </c>
      <c r="FJ16" s="63">
        <v>0</v>
      </c>
      <c r="FK16" s="59">
        <f t="shared" si="46"/>
        <v>0</v>
      </c>
      <c r="FL16" s="62" t="s">
        <v>71</v>
      </c>
      <c r="FM16" s="63">
        <v>0</v>
      </c>
      <c r="FN16" s="60">
        <f t="shared" si="47"/>
        <v>0</v>
      </c>
      <c r="FP16" s="62" t="s">
        <v>62</v>
      </c>
      <c r="FQ16" s="63">
        <v>0</v>
      </c>
      <c r="FR16" s="59">
        <f t="shared" si="48"/>
        <v>0</v>
      </c>
      <c r="FS16" s="62" t="s">
        <v>71</v>
      </c>
      <c r="FT16" s="63">
        <v>0</v>
      </c>
      <c r="FU16" s="60">
        <f t="shared" si="49"/>
        <v>0</v>
      </c>
      <c r="FW16" s="62" t="s">
        <v>62</v>
      </c>
      <c r="FX16" s="63">
        <v>0</v>
      </c>
      <c r="FY16" s="59">
        <f t="shared" si="50"/>
        <v>0</v>
      </c>
      <c r="FZ16" s="62" t="s">
        <v>71</v>
      </c>
      <c r="GA16" s="63">
        <v>0</v>
      </c>
      <c r="GB16" s="60">
        <f t="shared" si="51"/>
        <v>0</v>
      </c>
      <c r="GD16" s="62" t="s">
        <v>62</v>
      </c>
      <c r="GE16" s="63">
        <v>0</v>
      </c>
      <c r="GF16" s="59">
        <f t="shared" si="52"/>
        <v>0</v>
      </c>
      <c r="GG16" s="62" t="s">
        <v>71</v>
      </c>
      <c r="GH16" s="63">
        <v>0</v>
      </c>
      <c r="GI16" s="60">
        <f t="shared" si="53"/>
        <v>0</v>
      </c>
      <c r="GK16" s="62" t="s">
        <v>62</v>
      </c>
      <c r="GL16" s="63">
        <v>0</v>
      </c>
      <c r="GM16" s="59">
        <f t="shared" si="54"/>
        <v>0</v>
      </c>
      <c r="GN16" s="62" t="s">
        <v>71</v>
      </c>
      <c r="GO16" s="63">
        <v>0</v>
      </c>
      <c r="GP16" s="60">
        <f t="shared" si="55"/>
        <v>0</v>
      </c>
      <c r="GR16" s="62" t="s">
        <v>62</v>
      </c>
      <c r="GS16" s="63">
        <v>0</v>
      </c>
      <c r="GT16" s="59">
        <f t="shared" si="56"/>
        <v>0</v>
      </c>
      <c r="GU16" s="62" t="s">
        <v>71</v>
      </c>
      <c r="GV16" s="63">
        <v>0</v>
      </c>
      <c r="GW16" s="60">
        <f t="shared" si="57"/>
        <v>0</v>
      </c>
      <c r="GY16" s="62" t="s">
        <v>62</v>
      </c>
      <c r="GZ16" s="63">
        <v>0</v>
      </c>
      <c r="HA16" s="59">
        <f t="shared" si="58"/>
        <v>0</v>
      </c>
      <c r="HB16" s="62" t="s">
        <v>71</v>
      </c>
      <c r="HC16" s="63">
        <v>0</v>
      </c>
      <c r="HD16" s="60">
        <f t="shared" si="59"/>
        <v>0</v>
      </c>
      <c r="HF16" s="62" t="s">
        <v>62</v>
      </c>
      <c r="HG16" s="63">
        <v>0</v>
      </c>
      <c r="HH16" s="59">
        <f t="shared" si="60"/>
        <v>0</v>
      </c>
      <c r="HI16" s="62" t="s">
        <v>71</v>
      </c>
      <c r="HJ16" s="63">
        <v>0</v>
      </c>
      <c r="HK16" s="60">
        <f t="shared" si="61"/>
        <v>0</v>
      </c>
      <c r="HM16" s="62" t="s">
        <v>62</v>
      </c>
      <c r="HN16" s="63">
        <v>0</v>
      </c>
      <c r="HO16" s="59">
        <f t="shared" si="62"/>
        <v>0</v>
      </c>
      <c r="HP16" s="62" t="s">
        <v>71</v>
      </c>
      <c r="HQ16" s="63">
        <v>0</v>
      </c>
      <c r="HR16" s="60">
        <f t="shared" si="63"/>
        <v>0</v>
      </c>
      <c r="HT16" s="62" t="s">
        <v>62</v>
      </c>
      <c r="HU16" s="63">
        <v>0</v>
      </c>
      <c r="HV16" s="59">
        <f t="shared" si="64"/>
        <v>0</v>
      </c>
      <c r="HW16" s="62" t="s">
        <v>71</v>
      </c>
      <c r="HX16" s="63">
        <v>0</v>
      </c>
      <c r="HY16" s="60">
        <f t="shared" si="65"/>
        <v>0</v>
      </c>
      <c r="IA16" s="62" t="s">
        <v>62</v>
      </c>
      <c r="IB16" s="63">
        <v>0</v>
      </c>
      <c r="IC16" s="59">
        <f t="shared" si="66"/>
        <v>0</v>
      </c>
      <c r="ID16" s="62" t="s">
        <v>71</v>
      </c>
      <c r="IE16" s="63">
        <v>0</v>
      </c>
      <c r="IF16" s="60">
        <f t="shared" si="67"/>
        <v>0</v>
      </c>
      <c r="IH16" s="62" t="s">
        <v>62</v>
      </c>
      <c r="II16" s="63">
        <v>0</v>
      </c>
      <c r="IJ16" s="59">
        <f t="shared" si="68"/>
        <v>0</v>
      </c>
      <c r="IK16" s="62" t="s">
        <v>71</v>
      </c>
      <c r="IL16" s="63">
        <v>0</v>
      </c>
      <c r="IM16" s="60">
        <f t="shared" si="69"/>
        <v>0</v>
      </c>
      <c r="IO16" s="62" t="s">
        <v>62</v>
      </c>
      <c r="IP16" s="63">
        <v>0</v>
      </c>
      <c r="IQ16" s="59">
        <f t="shared" si="70"/>
        <v>0</v>
      </c>
      <c r="IR16" s="62" t="s">
        <v>71</v>
      </c>
      <c r="IS16" s="63">
        <v>0</v>
      </c>
      <c r="IT16" s="60">
        <f t="shared" si="71"/>
        <v>0</v>
      </c>
    </row>
    <row r="17" spans="4:254" x14ac:dyDescent="0.2">
      <c r="D17" s="216" t="s">
        <v>218</v>
      </c>
      <c r="E17" s="216"/>
      <c r="F17" s="216"/>
      <c r="G17" s="216"/>
      <c r="H17" s="216"/>
      <c r="I17" s="216"/>
      <c r="K17" s="216" t="s">
        <v>218</v>
      </c>
      <c r="L17" s="216"/>
      <c r="M17" s="216"/>
      <c r="N17" s="216"/>
      <c r="O17" s="216"/>
      <c r="P17" s="216"/>
      <c r="R17" s="216" t="s">
        <v>218</v>
      </c>
      <c r="S17" s="216"/>
      <c r="T17" s="216"/>
      <c r="U17" s="216"/>
      <c r="V17" s="216"/>
      <c r="W17" s="216"/>
      <c r="Y17" s="216" t="s">
        <v>218</v>
      </c>
      <c r="Z17" s="216"/>
      <c r="AA17" s="216"/>
      <c r="AB17" s="216"/>
      <c r="AC17" s="216"/>
      <c r="AD17" s="216"/>
      <c r="AF17" s="216" t="s">
        <v>218</v>
      </c>
      <c r="AG17" s="216"/>
      <c r="AH17" s="216"/>
      <c r="AI17" s="216"/>
      <c r="AJ17" s="216"/>
      <c r="AK17" s="216"/>
      <c r="AM17" s="216" t="s">
        <v>218</v>
      </c>
      <c r="AN17" s="216"/>
      <c r="AO17" s="216"/>
      <c r="AP17" s="216"/>
      <c r="AQ17" s="216"/>
      <c r="AR17" s="216"/>
      <c r="AT17" s="216" t="s">
        <v>218</v>
      </c>
      <c r="AU17" s="216"/>
      <c r="AV17" s="216"/>
      <c r="AW17" s="216"/>
      <c r="AX17" s="216"/>
      <c r="AY17" s="216"/>
      <c r="BA17" s="216" t="s">
        <v>218</v>
      </c>
      <c r="BB17" s="216"/>
      <c r="BC17" s="216"/>
      <c r="BD17" s="216"/>
      <c r="BE17" s="216"/>
      <c r="BF17" s="216"/>
      <c r="BH17" s="216" t="s">
        <v>218</v>
      </c>
      <c r="BI17" s="216"/>
      <c r="BJ17" s="216"/>
      <c r="BK17" s="216"/>
      <c r="BL17" s="216"/>
      <c r="BM17" s="216"/>
      <c r="BO17" s="216" t="s">
        <v>218</v>
      </c>
      <c r="BP17" s="216"/>
      <c r="BQ17" s="216"/>
      <c r="BR17" s="216"/>
      <c r="BS17" s="216"/>
      <c r="BT17" s="216"/>
      <c r="BV17" s="216" t="s">
        <v>218</v>
      </c>
      <c r="BW17" s="216"/>
      <c r="BX17" s="216"/>
      <c r="BY17" s="216"/>
      <c r="BZ17" s="216"/>
      <c r="CA17" s="216"/>
      <c r="CC17" s="216" t="s">
        <v>218</v>
      </c>
      <c r="CD17" s="216"/>
      <c r="CE17" s="216"/>
      <c r="CF17" s="216"/>
      <c r="CG17" s="216"/>
      <c r="CH17" s="216"/>
      <c r="CJ17" s="216" t="s">
        <v>218</v>
      </c>
      <c r="CK17" s="216"/>
      <c r="CL17" s="216"/>
      <c r="CM17" s="216"/>
      <c r="CN17" s="216"/>
      <c r="CO17" s="216"/>
      <c r="CQ17" s="216" t="s">
        <v>218</v>
      </c>
      <c r="CR17" s="216"/>
      <c r="CS17" s="216"/>
      <c r="CT17" s="216"/>
      <c r="CU17" s="216"/>
      <c r="CV17" s="216"/>
      <c r="CX17" s="216" t="s">
        <v>218</v>
      </c>
      <c r="CY17" s="216"/>
      <c r="CZ17" s="216"/>
      <c r="DA17" s="216"/>
      <c r="DB17" s="216"/>
      <c r="DC17" s="216"/>
      <c r="DE17" s="216" t="s">
        <v>218</v>
      </c>
      <c r="DF17" s="216"/>
      <c r="DG17" s="216"/>
      <c r="DH17" s="216"/>
      <c r="DI17" s="216"/>
      <c r="DJ17" s="216"/>
      <c r="DL17" s="216" t="s">
        <v>218</v>
      </c>
      <c r="DM17" s="216"/>
      <c r="DN17" s="216"/>
      <c r="DO17" s="216"/>
      <c r="DP17" s="216"/>
      <c r="DQ17" s="216"/>
      <c r="DS17" s="216" t="s">
        <v>218</v>
      </c>
      <c r="DT17" s="216"/>
      <c r="DU17" s="216"/>
      <c r="DV17" s="216"/>
      <c r="DW17" s="216"/>
      <c r="DX17" s="216"/>
      <c r="DZ17" s="216" t="s">
        <v>218</v>
      </c>
      <c r="EA17" s="216"/>
      <c r="EB17" s="216"/>
      <c r="EC17" s="216"/>
      <c r="ED17" s="216"/>
      <c r="EE17" s="216"/>
      <c r="EG17" s="216" t="s">
        <v>218</v>
      </c>
      <c r="EH17" s="216"/>
      <c r="EI17" s="216"/>
      <c r="EJ17" s="216"/>
      <c r="EK17" s="216"/>
      <c r="EL17" s="216"/>
      <c r="EN17" s="216" t="s">
        <v>218</v>
      </c>
      <c r="EO17" s="216"/>
      <c r="EP17" s="216"/>
      <c r="EQ17" s="216"/>
      <c r="ER17" s="216"/>
      <c r="ES17" s="216"/>
      <c r="EU17" s="216" t="s">
        <v>218</v>
      </c>
      <c r="EV17" s="216"/>
      <c r="EW17" s="216"/>
      <c r="EX17" s="216"/>
      <c r="EY17" s="216"/>
      <c r="EZ17" s="216"/>
      <c r="FB17" s="216" t="s">
        <v>218</v>
      </c>
      <c r="FC17" s="216"/>
      <c r="FD17" s="216"/>
      <c r="FE17" s="216"/>
      <c r="FF17" s="216"/>
      <c r="FG17" s="216"/>
      <c r="FI17" s="216" t="s">
        <v>218</v>
      </c>
      <c r="FJ17" s="216"/>
      <c r="FK17" s="216"/>
      <c r="FL17" s="216"/>
      <c r="FM17" s="216"/>
      <c r="FN17" s="216"/>
      <c r="FP17" s="216" t="s">
        <v>218</v>
      </c>
      <c r="FQ17" s="216"/>
      <c r="FR17" s="216"/>
      <c r="FS17" s="216"/>
      <c r="FT17" s="216"/>
      <c r="FU17" s="216"/>
      <c r="FW17" s="216" t="s">
        <v>218</v>
      </c>
      <c r="FX17" s="216"/>
      <c r="FY17" s="216"/>
      <c r="FZ17" s="216"/>
      <c r="GA17" s="216"/>
      <c r="GB17" s="216"/>
      <c r="GD17" s="216" t="s">
        <v>218</v>
      </c>
      <c r="GE17" s="216"/>
      <c r="GF17" s="216"/>
      <c r="GG17" s="216"/>
      <c r="GH17" s="216"/>
      <c r="GI17" s="216"/>
      <c r="GK17" s="216" t="s">
        <v>218</v>
      </c>
      <c r="GL17" s="216"/>
      <c r="GM17" s="216"/>
      <c r="GN17" s="216"/>
      <c r="GO17" s="216"/>
      <c r="GP17" s="216"/>
      <c r="GR17" s="216" t="s">
        <v>218</v>
      </c>
      <c r="GS17" s="216"/>
      <c r="GT17" s="216"/>
      <c r="GU17" s="216"/>
      <c r="GV17" s="216"/>
      <c r="GW17" s="216"/>
      <c r="GY17" s="216" t="s">
        <v>218</v>
      </c>
      <c r="GZ17" s="216"/>
      <c r="HA17" s="216"/>
      <c r="HB17" s="216"/>
      <c r="HC17" s="216"/>
      <c r="HD17" s="216"/>
      <c r="HF17" s="216" t="s">
        <v>218</v>
      </c>
      <c r="HG17" s="216"/>
      <c r="HH17" s="216"/>
      <c r="HI17" s="216"/>
      <c r="HJ17" s="216"/>
      <c r="HK17" s="216"/>
      <c r="HM17" s="216" t="s">
        <v>218</v>
      </c>
      <c r="HN17" s="216"/>
      <c r="HO17" s="216"/>
      <c r="HP17" s="216"/>
      <c r="HQ17" s="216"/>
      <c r="HR17" s="216"/>
      <c r="HT17" s="216" t="s">
        <v>218</v>
      </c>
      <c r="HU17" s="216"/>
      <c r="HV17" s="216"/>
      <c r="HW17" s="216"/>
      <c r="HX17" s="216"/>
      <c r="HY17" s="216"/>
      <c r="IA17" s="216" t="s">
        <v>218</v>
      </c>
      <c r="IB17" s="216"/>
      <c r="IC17" s="216"/>
      <c r="ID17" s="216"/>
      <c r="IE17" s="216"/>
      <c r="IF17" s="216"/>
      <c r="IH17" s="216" t="s">
        <v>218</v>
      </c>
      <c r="II17" s="216"/>
      <c r="IJ17" s="216"/>
      <c r="IK17" s="216"/>
      <c r="IL17" s="216"/>
      <c r="IM17" s="216"/>
      <c r="IO17" s="216" t="s">
        <v>218</v>
      </c>
      <c r="IP17" s="216"/>
      <c r="IQ17" s="216"/>
      <c r="IR17" s="216"/>
      <c r="IS17" s="216"/>
      <c r="IT17" s="216"/>
    </row>
    <row r="18" spans="4:254" x14ac:dyDescent="0.2">
      <c r="D18" s="64" t="s">
        <v>219</v>
      </c>
      <c r="E18" s="65">
        <f>E11+H11</f>
        <v>142</v>
      </c>
      <c r="F18" s="66"/>
      <c r="G18" s="67" t="s">
        <v>220</v>
      </c>
      <c r="H18" s="65">
        <f>E14+H14</f>
        <v>6</v>
      </c>
      <c r="I18" s="68" t="s">
        <v>221</v>
      </c>
      <c r="K18" s="64" t="s">
        <v>219</v>
      </c>
      <c r="L18" s="65">
        <f>L11+O11</f>
        <v>163</v>
      </c>
      <c r="M18" s="66"/>
      <c r="N18" s="67" t="s">
        <v>220</v>
      </c>
      <c r="O18" s="65">
        <f>L14+O14</f>
        <v>7</v>
      </c>
      <c r="P18" s="68" t="s">
        <v>221</v>
      </c>
      <c r="R18" s="64" t="s">
        <v>219</v>
      </c>
      <c r="S18" s="65">
        <f>S11+V11</f>
        <v>125.5</v>
      </c>
      <c r="T18" s="66"/>
      <c r="U18" s="67" t="s">
        <v>220</v>
      </c>
      <c r="V18" s="65">
        <f>S14+V14</f>
        <v>7.6000000000000005</v>
      </c>
      <c r="W18" s="68" t="s">
        <v>221</v>
      </c>
      <c r="Y18" s="64" t="s">
        <v>219</v>
      </c>
      <c r="Z18" s="65">
        <f>Z11+AC11</f>
        <v>26.666666666666664</v>
      </c>
      <c r="AA18" s="66"/>
      <c r="AB18" s="67" t="s">
        <v>220</v>
      </c>
      <c r="AC18" s="65">
        <f>Z14+AC14</f>
        <v>4.6666666666666661</v>
      </c>
      <c r="AD18" s="68" t="s">
        <v>221</v>
      </c>
      <c r="AF18" s="64" t="s">
        <v>219</v>
      </c>
      <c r="AG18" s="65">
        <f>AG11+AJ11</f>
        <v>173.95</v>
      </c>
      <c r="AH18" s="66"/>
      <c r="AI18" s="67" t="s">
        <v>220</v>
      </c>
      <c r="AJ18" s="65">
        <f>AG14+AJ14</f>
        <v>7.3500000000000005</v>
      </c>
      <c r="AK18" s="68" t="s">
        <v>221</v>
      </c>
      <c r="AM18" s="64" t="s">
        <v>219</v>
      </c>
      <c r="AN18" s="65">
        <f>AN11+AQ11</f>
        <v>199.67500000000001</v>
      </c>
      <c r="AO18" s="66"/>
      <c r="AP18" s="67" t="s">
        <v>220</v>
      </c>
      <c r="AQ18" s="65">
        <f>AN14+AQ14</f>
        <v>8.5750000000000011</v>
      </c>
      <c r="AR18" s="68" t="s">
        <v>221</v>
      </c>
      <c r="AT18" s="64" t="s">
        <v>219</v>
      </c>
      <c r="AU18" s="65">
        <f>AU11+AX11</f>
        <v>153.73750000000001</v>
      </c>
      <c r="AV18" s="66"/>
      <c r="AW18" s="67" t="s">
        <v>220</v>
      </c>
      <c r="AX18" s="65">
        <f>AU14+AX14</f>
        <v>9.31</v>
      </c>
      <c r="AY18" s="68" t="s">
        <v>221</v>
      </c>
      <c r="BA18" s="64" t="s">
        <v>219</v>
      </c>
      <c r="BB18" s="65">
        <f>BB11+BE11</f>
        <v>32.666666666666671</v>
      </c>
      <c r="BC18" s="66"/>
      <c r="BD18" s="67" t="s">
        <v>220</v>
      </c>
      <c r="BE18" s="65">
        <f>BB14+BE14</f>
        <v>5.7166666666666668</v>
      </c>
      <c r="BF18" s="68" t="s">
        <v>221</v>
      </c>
      <c r="BH18" s="64" t="s">
        <v>219</v>
      </c>
      <c r="BI18" s="65">
        <f>BI11+BL11</f>
        <v>205.89999999999998</v>
      </c>
      <c r="BJ18" s="66"/>
      <c r="BK18" s="67" t="s">
        <v>220</v>
      </c>
      <c r="BL18" s="65">
        <f>BI14+BL14</f>
        <v>8.6999999999999993</v>
      </c>
      <c r="BM18" s="68" t="s">
        <v>221</v>
      </c>
      <c r="BO18" s="64" t="s">
        <v>219</v>
      </c>
      <c r="BP18" s="65">
        <f>BP11+BS11</f>
        <v>236.35</v>
      </c>
      <c r="BQ18" s="66"/>
      <c r="BR18" s="67" t="s">
        <v>220</v>
      </c>
      <c r="BS18" s="65">
        <f>BP14+BS14</f>
        <v>10.149999999999999</v>
      </c>
      <c r="BT18" s="68" t="s">
        <v>221</v>
      </c>
      <c r="BV18" s="64" t="s">
        <v>219</v>
      </c>
      <c r="BW18" s="65">
        <f>BW11+BZ11</f>
        <v>181.97499999999999</v>
      </c>
      <c r="BX18" s="66"/>
      <c r="BY18" s="67" t="s">
        <v>220</v>
      </c>
      <c r="BZ18" s="65">
        <f>BW14+BZ14</f>
        <v>11.02</v>
      </c>
      <c r="CA18" s="68" t="s">
        <v>221</v>
      </c>
      <c r="CC18" s="64" t="s">
        <v>219</v>
      </c>
      <c r="CD18" s="65">
        <f>CD11+CG11</f>
        <v>38.666666666666664</v>
      </c>
      <c r="CE18" s="66"/>
      <c r="CF18" s="67" t="s">
        <v>220</v>
      </c>
      <c r="CG18" s="65">
        <f>CD14+CG14</f>
        <v>6.7666666666666657</v>
      </c>
      <c r="CH18" s="68" t="s">
        <v>221</v>
      </c>
      <c r="CJ18" s="64" t="s">
        <v>219</v>
      </c>
      <c r="CK18" s="65">
        <f>CK11+CN11</f>
        <v>1160</v>
      </c>
      <c r="CL18" s="66"/>
      <c r="CM18" s="67" t="s">
        <v>220</v>
      </c>
      <c r="CN18" s="65">
        <f>CK14+CN14</f>
        <v>100</v>
      </c>
      <c r="CO18" s="68" t="s">
        <v>221</v>
      </c>
      <c r="CQ18" s="64" t="s">
        <v>219</v>
      </c>
      <c r="CR18" s="65">
        <f>CR11+CU11</f>
        <v>1160</v>
      </c>
      <c r="CS18" s="66"/>
      <c r="CT18" s="67" t="s">
        <v>220</v>
      </c>
      <c r="CU18" s="65">
        <f>CR14+CU14</f>
        <v>100</v>
      </c>
      <c r="CV18" s="68" t="s">
        <v>221</v>
      </c>
      <c r="CX18" s="64" t="s">
        <v>219</v>
      </c>
      <c r="CY18" s="65">
        <f>CY11+DB11</f>
        <v>1160</v>
      </c>
      <c r="CZ18" s="66"/>
      <c r="DA18" s="67" t="s">
        <v>220</v>
      </c>
      <c r="DB18" s="65">
        <f>CY14+DB14</f>
        <v>100</v>
      </c>
      <c r="DC18" s="68" t="s">
        <v>221</v>
      </c>
      <c r="DE18" s="64" t="s">
        <v>219</v>
      </c>
      <c r="DF18" s="65">
        <f>DF11+DI11</f>
        <v>1160</v>
      </c>
      <c r="DG18" s="66"/>
      <c r="DH18" s="67" t="s">
        <v>220</v>
      </c>
      <c r="DI18" s="65">
        <f>DF14+DI14</f>
        <v>100</v>
      </c>
      <c r="DJ18" s="68" t="s">
        <v>221</v>
      </c>
      <c r="DL18" s="64" t="s">
        <v>219</v>
      </c>
      <c r="DM18" s="65">
        <f>DM11+DP11</f>
        <v>1160</v>
      </c>
      <c r="DN18" s="66"/>
      <c r="DO18" s="67" t="s">
        <v>220</v>
      </c>
      <c r="DP18" s="65">
        <f>DM14+DP14</f>
        <v>100</v>
      </c>
      <c r="DQ18" s="68" t="s">
        <v>221</v>
      </c>
      <c r="DS18" s="64" t="s">
        <v>219</v>
      </c>
      <c r="DT18" s="65">
        <f>DT11+DW11</f>
        <v>1160</v>
      </c>
      <c r="DU18" s="66"/>
      <c r="DV18" s="67" t="s">
        <v>220</v>
      </c>
      <c r="DW18" s="65">
        <f>DT14+DW14</f>
        <v>100</v>
      </c>
      <c r="DX18" s="68" t="s">
        <v>221</v>
      </c>
      <c r="DZ18" s="64" t="s">
        <v>219</v>
      </c>
      <c r="EA18" s="65">
        <f>EA11+ED11</f>
        <v>1160</v>
      </c>
      <c r="EB18" s="66"/>
      <c r="EC18" s="67" t="s">
        <v>220</v>
      </c>
      <c r="ED18" s="65">
        <f>EA14+ED14</f>
        <v>100</v>
      </c>
      <c r="EE18" s="68" t="s">
        <v>221</v>
      </c>
      <c r="EG18" s="64" t="s">
        <v>219</v>
      </c>
      <c r="EH18" s="65">
        <f>EH11+EK11</f>
        <v>1160</v>
      </c>
      <c r="EI18" s="66"/>
      <c r="EJ18" s="67" t="s">
        <v>220</v>
      </c>
      <c r="EK18" s="65">
        <f>EH14+EK14</f>
        <v>100</v>
      </c>
      <c r="EL18" s="68" t="s">
        <v>221</v>
      </c>
      <c r="EN18" s="64" t="s">
        <v>219</v>
      </c>
      <c r="EO18" s="65">
        <f>EO11+ER11</f>
        <v>1160</v>
      </c>
      <c r="EP18" s="66"/>
      <c r="EQ18" s="67" t="s">
        <v>220</v>
      </c>
      <c r="ER18" s="65">
        <f>EO14+ER14</f>
        <v>100</v>
      </c>
      <c r="ES18" s="68" t="s">
        <v>221</v>
      </c>
      <c r="EU18" s="64" t="s">
        <v>219</v>
      </c>
      <c r="EV18" s="65">
        <f>EV11+EY11</f>
        <v>1160</v>
      </c>
      <c r="EW18" s="66"/>
      <c r="EX18" s="67" t="s">
        <v>220</v>
      </c>
      <c r="EY18" s="65">
        <f>EV14+EY14</f>
        <v>100</v>
      </c>
      <c r="EZ18" s="68" t="s">
        <v>221</v>
      </c>
      <c r="FB18" s="64" t="s">
        <v>219</v>
      </c>
      <c r="FC18" s="65">
        <f>FC11+FF11</f>
        <v>1160</v>
      </c>
      <c r="FD18" s="66"/>
      <c r="FE18" s="67" t="s">
        <v>220</v>
      </c>
      <c r="FF18" s="65">
        <f>FC14+FF14</f>
        <v>100</v>
      </c>
      <c r="FG18" s="68" t="s">
        <v>221</v>
      </c>
      <c r="FI18" s="64" t="s">
        <v>219</v>
      </c>
      <c r="FJ18" s="65">
        <f>FJ11+FM11</f>
        <v>1160</v>
      </c>
      <c r="FK18" s="66"/>
      <c r="FL18" s="67" t="s">
        <v>220</v>
      </c>
      <c r="FM18" s="65">
        <f>FJ14+FM14</f>
        <v>100</v>
      </c>
      <c r="FN18" s="68" t="s">
        <v>221</v>
      </c>
      <c r="FP18" s="64" t="s">
        <v>219</v>
      </c>
      <c r="FQ18" s="65">
        <f>FQ11+FT11</f>
        <v>1160</v>
      </c>
      <c r="FR18" s="66"/>
      <c r="FS18" s="67" t="s">
        <v>220</v>
      </c>
      <c r="FT18" s="65">
        <f>FQ14+FT14</f>
        <v>100</v>
      </c>
      <c r="FU18" s="68" t="s">
        <v>221</v>
      </c>
      <c r="FW18" s="64" t="s">
        <v>219</v>
      </c>
      <c r="FX18" s="65">
        <f>FX11+GA11</f>
        <v>1160</v>
      </c>
      <c r="FY18" s="66"/>
      <c r="FZ18" s="67" t="s">
        <v>220</v>
      </c>
      <c r="GA18" s="65">
        <f>FX14+GA14</f>
        <v>100</v>
      </c>
      <c r="GB18" s="68" t="s">
        <v>221</v>
      </c>
      <c r="GD18" s="64" t="s">
        <v>219</v>
      </c>
      <c r="GE18" s="65">
        <f>GE11+GH11</f>
        <v>1160</v>
      </c>
      <c r="GF18" s="66"/>
      <c r="GG18" s="67" t="s">
        <v>220</v>
      </c>
      <c r="GH18" s="65">
        <f>GE14+GH14</f>
        <v>100</v>
      </c>
      <c r="GI18" s="68" t="s">
        <v>221</v>
      </c>
      <c r="GK18" s="64" t="s">
        <v>219</v>
      </c>
      <c r="GL18" s="65">
        <f>GL11+GO11</f>
        <v>1160</v>
      </c>
      <c r="GM18" s="66"/>
      <c r="GN18" s="67" t="s">
        <v>220</v>
      </c>
      <c r="GO18" s="65">
        <f>GL14+GO14</f>
        <v>100</v>
      </c>
      <c r="GP18" s="68" t="s">
        <v>221</v>
      </c>
      <c r="GR18" s="64" t="s">
        <v>219</v>
      </c>
      <c r="GS18" s="65">
        <f>GS11+GV11</f>
        <v>1160</v>
      </c>
      <c r="GT18" s="66"/>
      <c r="GU18" s="67" t="s">
        <v>220</v>
      </c>
      <c r="GV18" s="65">
        <f>GS14+GV14</f>
        <v>100</v>
      </c>
      <c r="GW18" s="68" t="s">
        <v>221</v>
      </c>
      <c r="GY18" s="64" t="s">
        <v>219</v>
      </c>
      <c r="GZ18" s="65">
        <f>GZ11+HC11</f>
        <v>1160</v>
      </c>
      <c r="HA18" s="66"/>
      <c r="HB18" s="67" t="s">
        <v>220</v>
      </c>
      <c r="HC18" s="65">
        <f>GZ14+HC14</f>
        <v>100</v>
      </c>
      <c r="HD18" s="68" t="s">
        <v>221</v>
      </c>
      <c r="HF18" s="64" t="s">
        <v>219</v>
      </c>
      <c r="HG18" s="65">
        <f>HG11+HJ11</f>
        <v>1160</v>
      </c>
      <c r="HH18" s="66"/>
      <c r="HI18" s="67" t="s">
        <v>220</v>
      </c>
      <c r="HJ18" s="65">
        <f>HG14+HJ14</f>
        <v>100</v>
      </c>
      <c r="HK18" s="68" t="s">
        <v>221</v>
      </c>
      <c r="HM18" s="64" t="s">
        <v>219</v>
      </c>
      <c r="HN18" s="65">
        <f>HN11+HQ11</f>
        <v>1160</v>
      </c>
      <c r="HO18" s="66"/>
      <c r="HP18" s="67" t="s">
        <v>220</v>
      </c>
      <c r="HQ18" s="65">
        <f>HN14+HQ14</f>
        <v>100</v>
      </c>
      <c r="HR18" s="68" t="s">
        <v>221</v>
      </c>
      <c r="HT18" s="64" t="s">
        <v>219</v>
      </c>
      <c r="HU18" s="65">
        <f>HU11+HX11</f>
        <v>1160</v>
      </c>
      <c r="HV18" s="66"/>
      <c r="HW18" s="67" t="s">
        <v>220</v>
      </c>
      <c r="HX18" s="65">
        <f>HU14+HX14</f>
        <v>100</v>
      </c>
      <c r="HY18" s="68" t="s">
        <v>221</v>
      </c>
      <c r="IA18" s="64" t="s">
        <v>219</v>
      </c>
      <c r="IB18" s="65">
        <f>IB11+IE11</f>
        <v>1160</v>
      </c>
      <c r="IC18" s="66"/>
      <c r="ID18" s="67" t="s">
        <v>220</v>
      </c>
      <c r="IE18" s="65">
        <f>IB14+IE14</f>
        <v>100</v>
      </c>
      <c r="IF18" s="68" t="s">
        <v>221</v>
      </c>
      <c r="IH18" s="64" t="s">
        <v>219</v>
      </c>
      <c r="II18" s="65">
        <f>II11+IL11</f>
        <v>1160</v>
      </c>
      <c r="IJ18" s="66"/>
      <c r="IK18" s="67" t="s">
        <v>220</v>
      </c>
      <c r="IL18" s="65">
        <f>II14+IL14</f>
        <v>100</v>
      </c>
      <c r="IM18" s="68" t="s">
        <v>221</v>
      </c>
      <c r="IO18" s="64" t="s">
        <v>219</v>
      </c>
      <c r="IP18" s="65">
        <f>IP11+IS11</f>
        <v>1160</v>
      </c>
      <c r="IQ18" s="66"/>
      <c r="IR18" s="67" t="s">
        <v>220</v>
      </c>
      <c r="IS18" s="65">
        <f>IP14+IS14</f>
        <v>100</v>
      </c>
      <c r="IT18" s="68" t="s">
        <v>221</v>
      </c>
    </row>
    <row r="19" spans="4:254" x14ac:dyDescent="0.2">
      <c r="D19" s="52" t="s">
        <v>222</v>
      </c>
      <c r="E19" s="69">
        <f>E12+H12</f>
        <v>9</v>
      </c>
      <c r="F19" s="70"/>
      <c r="G19" s="71" t="s">
        <v>223</v>
      </c>
      <c r="H19" s="65">
        <f>E15+H15</f>
        <v>10</v>
      </c>
      <c r="I19" s="72">
        <f>H18+H19</f>
        <v>16</v>
      </c>
      <c r="K19" s="52" t="s">
        <v>222</v>
      </c>
      <c r="L19" s="69">
        <f>L12+O12</f>
        <v>10</v>
      </c>
      <c r="M19" s="70"/>
      <c r="N19" s="71" t="s">
        <v>223</v>
      </c>
      <c r="O19" s="65">
        <f>L15+O15</f>
        <v>11</v>
      </c>
      <c r="P19" s="72">
        <f>O18+O19</f>
        <v>18</v>
      </c>
      <c r="R19" s="52" t="s">
        <v>222</v>
      </c>
      <c r="S19" s="69">
        <f>S12+V12</f>
        <v>10.3</v>
      </c>
      <c r="T19" s="70"/>
      <c r="U19" s="71" t="s">
        <v>223</v>
      </c>
      <c r="V19" s="65">
        <f>S15+V15</f>
        <v>9.6</v>
      </c>
      <c r="W19" s="72">
        <f>V18+V19</f>
        <v>17.2</v>
      </c>
      <c r="Y19" s="52" t="s">
        <v>222</v>
      </c>
      <c r="Z19" s="69">
        <f>Z12+AC12</f>
        <v>1.1666666666666667</v>
      </c>
      <c r="AA19" s="70"/>
      <c r="AB19" s="71" t="s">
        <v>223</v>
      </c>
      <c r="AC19" s="65">
        <f>Z15+AC15</f>
        <v>8.8333333333333321</v>
      </c>
      <c r="AD19" s="72">
        <f>AC18+AC19</f>
        <v>13.499999999999998</v>
      </c>
      <c r="AF19" s="52" t="s">
        <v>222</v>
      </c>
      <c r="AG19" s="69">
        <f>AG12+AJ12</f>
        <v>11.025</v>
      </c>
      <c r="AH19" s="70"/>
      <c r="AI19" s="71" t="s">
        <v>223</v>
      </c>
      <c r="AJ19" s="65">
        <f>AG15+AJ15</f>
        <v>12.25</v>
      </c>
      <c r="AK19" s="72">
        <f>AJ18+AJ19</f>
        <v>19.600000000000001</v>
      </c>
      <c r="AM19" s="52" t="s">
        <v>222</v>
      </c>
      <c r="AN19" s="69">
        <f>AN12+AQ12</f>
        <v>12.25</v>
      </c>
      <c r="AO19" s="70"/>
      <c r="AP19" s="71" t="s">
        <v>223</v>
      </c>
      <c r="AQ19" s="65">
        <f>AN15+AQ15</f>
        <v>13.475000000000001</v>
      </c>
      <c r="AR19" s="72">
        <f>AQ18+AQ19</f>
        <v>22.050000000000004</v>
      </c>
      <c r="AT19" s="52" t="s">
        <v>222</v>
      </c>
      <c r="AU19" s="69">
        <f>AU12+AX12</f>
        <v>12.6175</v>
      </c>
      <c r="AV19" s="70"/>
      <c r="AW19" s="71" t="s">
        <v>223</v>
      </c>
      <c r="AX19" s="65">
        <f>AU15+AX15</f>
        <v>11.760000000000002</v>
      </c>
      <c r="AY19" s="72">
        <f>AX18+AX19</f>
        <v>21.07</v>
      </c>
      <c r="BA19" s="52" t="s">
        <v>222</v>
      </c>
      <c r="BB19" s="69">
        <f>BB12+BE12</f>
        <v>1.4291666666666669</v>
      </c>
      <c r="BC19" s="70"/>
      <c r="BD19" s="71" t="s">
        <v>223</v>
      </c>
      <c r="BE19" s="65">
        <f>BB15+BE15</f>
        <v>10.820833333333333</v>
      </c>
      <c r="BF19" s="72">
        <f>BE18+BE19</f>
        <v>16.537500000000001</v>
      </c>
      <c r="BH19" s="52" t="s">
        <v>222</v>
      </c>
      <c r="BI19" s="69">
        <f>BI12+BL12</f>
        <v>13.049999999999999</v>
      </c>
      <c r="BJ19" s="70"/>
      <c r="BK19" s="71" t="s">
        <v>223</v>
      </c>
      <c r="BL19" s="65">
        <f>BI15+BL15</f>
        <v>14.5</v>
      </c>
      <c r="BM19" s="72">
        <f>BL18+BL19</f>
        <v>23.2</v>
      </c>
      <c r="BO19" s="52" t="s">
        <v>222</v>
      </c>
      <c r="BP19" s="69">
        <f>BP12+BS12</f>
        <v>14.5</v>
      </c>
      <c r="BQ19" s="70"/>
      <c r="BR19" s="71" t="s">
        <v>223</v>
      </c>
      <c r="BS19" s="65">
        <f>BP15+BS15</f>
        <v>15.95</v>
      </c>
      <c r="BT19" s="72">
        <f>BS18+BS19</f>
        <v>26.099999999999998</v>
      </c>
      <c r="BV19" s="52" t="s">
        <v>222</v>
      </c>
      <c r="BW19" s="69">
        <f>BW12+BZ12</f>
        <v>14.934999999999999</v>
      </c>
      <c r="BX19" s="70"/>
      <c r="BY19" s="71" t="s">
        <v>223</v>
      </c>
      <c r="BZ19" s="65">
        <f>BW15+BZ15</f>
        <v>13.919999999999998</v>
      </c>
      <c r="CA19" s="72">
        <f>BZ18+BZ19</f>
        <v>24.939999999999998</v>
      </c>
      <c r="CC19" s="52" t="s">
        <v>222</v>
      </c>
      <c r="CD19" s="69">
        <f>CD12+CG12</f>
        <v>1.6916666666666667</v>
      </c>
      <c r="CE19" s="70"/>
      <c r="CF19" s="71" t="s">
        <v>223</v>
      </c>
      <c r="CG19" s="65">
        <f>CD15+CG15</f>
        <v>12.808333333333334</v>
      </c>
      <c r="CH19" s="72">
        <f>CG18+CG19</f>
        <v>19.574999999999999</v>
      </c>
      <c r="CJ19" s="52" t="s">
        <v>222</v>
      </c>
      <c r="CK19" s="69">
        <f>CK12+CN12</f>
        <v>60</v>
      </c>
      <c r="CL19" s="70"/>
      <c r="CM19" s="71" t="s">
        <v>223</v>
      </c>
      <c r="CN19" s="65">
        <f>CK15+CN15</f>
        <v>40</v>
      </c>
      <c r="CO19" s="72">
        <f>CN18+CN19</f>
        <v>140</v>
      </c>
      <c r="CQ19" s="52" t="s">
        <v>222</v>
      </c>
      <c r="CR19" s="69">
        <f>CR12+CU12</f>
        <v>60</v>
      </c>
      <c r="CS19" s="70"/>
      <c r="CT19" s="71" t="s">
        <v>223</v>
      </c>
      <c r="CU19" s="65">
        <f>CR15+CU15</f>
        <v>40</v>
      </c>
      <c r="CV19" s="72">
        <f>CU18+CU19</f>
        <v>140</v>
      </c>
      <c r="CX19" s="52" t="s">
        <v>222</v>
      </c>
      <c r="CY19" s="69">
        <f>CY12+DB12</f>
        <v>60</v>
      </c>
      <c r="CZ19" s="70"/>
      <c r="DA19" s="71" t="s">
        <v>223</v>
      </c>
      <c r="DB19" s="65">
        <f>CY15+DB15</f>
        <v>40</v>
      </c>
      <c r="DC19" s="72">
        <f>DB18+DB19</f>
        <v>140</v>
      </c>
      <c r="DE19" s="52" t="s">
        <v>222</v>
      </c>
      <c r="DF19" s="69">
        <f>DF12+DI12</f>
        <v>60</v>
      </c>
      <c r="DG19" s="70"/>
      <c r="DH19" s="71" t="s">
        <v>223</v>
      </c>
      <c r="DI19" s="65">
        <f>DF15+DI15</f>
        <v>40</v>
      </c>
      <c r="DJ19" s="72">
        <f>DI18+DI19</f>
        <v>140</v>
      </c>
      <c r="DL19" s="52" t="s">
        <v>222</v>
      </c>
      <c r="DM19" s="69">
        <f>DM12+DP12</f>
        <v>60</v>
      </c>
      <c r="DN19" s="70"/>
      <c r="DO19" s="71" t="s">
        <v>223</v>
      </c>
      <c r="DP19" s="65">
        <f>DM15+DP15</f>
        <v>40</v>
      </c>
      <c r="DQ19" s="72">
        <f>DP18+DP19</f>
        <v>140</v>
      </c>
      <c r="DS19" s="52" t="s">
        <v>222</v>
      </c>
      <c r="DT19" s="69">
        <f>DT12+DW12</f>
        <v>60</v>
      </c>
      <c r="DU19" s="70"/>
      <c r="DV19" s="71" t="s">
        <v>223</v>
      </c>
      <c r="DW19" s="65">
        <f>DT15+DW15</f>
        <v>40</v>
      </c>
      <c r="DX19" s="72">
        <f>DW18+DW19</f>
        <v>140</v>
      </c>
      <c r="DZ19" s="52" t="s">
        <v>222</v>
      </c>
      <c r="EA19" s="69">
        <f>EA12+ED12</f>
        <v>60</v>
      </c>
      <c r="EB19" s="70"/>
      <c r="EC19" s="71" t="s">
        <v>223</v>
      </c>
      <c r="ED19" s="65">
        <f>EA15+ED15</f>
        <v>40</v>
      </c>
      <c r="EE19" s="72">
        <f>ED18+ED19</f>
        <v>140</v>
      </c>
      <c r="EG19" s="52" t="s">
        <v>222</v>
      </c>
      <c r="EH19" s="69">
        <f>EH12+EK12</f>
        <v>60</v>
      </c>
      <c r="EI19" s="70"/>
      <c r="EJ19" s="71" t="s">
        <v>223</v>
      </c>
      <c r="EK19" s="65">
        <f>EH15+EK15</f>
        <v>40</v>
      </c>
      <c r="EL19" s="72">
        <f>EK18+EK19</f>
        <v>140</v>
      </c>
      <c r="EN19" s="52" t="s">
        <v>222</v>
      </c>
      <c r="EO19" s="69">
        <f>EO12+ER12</f>
        <v>60</v>
      </c>
      <c r="EP19" s="70"/>
      <c r="EQ19" s="71" t="s">
        <v>223</v>
      </c>
      <c r="ER19" s="65">
        <f>EO15+ER15</f>
        <v>40</v>
      </c>
      <c r="ES19" s="72">
        <f>ER18+ER19</f>
        <v>140</v>
      </c>
      <c r="EU19" s="52" t="s">
        <v>222</v>
      </c>
      <c r="EV19" s="69">
        <f>EV12+EY12</f>
        <v>60</v>
      </c>
      <c r="EW19" s="70"/>
      <c r="EX19" s="71" t="s">
        <v>223</v>
      </c>
      <c r="EY19" s="65">
        <f>EV15+EY15</f>
        <v>40</v>
      </c>
      <c r="EZ19" s="72">
        <f>EY18+EY19</f>
        <v>140</v>
      </c>
      <c r="FB19" s="52" t="s">
        <v>222</v>
      </c>
      <c r="FC19" s="69">
        <f>FC12+FF12</f>
        <v>60</v>
      </c>
      <c r="FD19" s="70"/>
      <c r="FE19" s="71" t="s">
        <v>223</v>
      </c>
      <c r="FF19" s="65">
        <f>FC15+FF15</f>
        <v>40</v>
      </c>
      <c r="FG19" s="72">
        <f>FF18+FF19</f>
        <v>140</v>
      </c>
      <c r="FI19" s="52" t="s">
        <v>222</v>
      </c>
      <c r="FJ19" s="69">
        <f>FJ12+FM12</f>
        <v>60</v>
      </c>
      <c r="FK19" s="70"/>
      <c r="FL19" s="71" t="s">
        <v>223</v>
      </c>
      <c r="FM19" s="65">
        <f>FJ15+FM15</f>
        <v>40</v>
      </c>
      <c r="FN19" s="72">
        <f>FM18+FM19</f>
        <v>140</v>
      </c>
      <c r="FP19" s="52" t="s">
        <v>222</v>
      </c>
      <c r="FQ19" s="69">
        <f>FQ12+FT12</f>
        <v>60</v>
      </c>
      <c r="FR19" s="70"/>
      <c r="FS19" s="71" t="s">
        <v>223</v>
      </c>
      <c r="FT19" s="65">
        <f>FQ15+FT15</f>
        <v>40</v>
      </c>
      <c r="FU19" s="72">
        <f>FT18+FT19</f>
        <v>140</v>
      </c>
      <c r="FW19" s="52" t="s">
        <v>222</v>
      </c>
      <c r="FX19" s="69">
        <f>FX12+GA12</f>
        <v>60</v>
      </c>
      <c r="FY19" s="70"/>
      <c r="FZ19" s="71" t="s">
        <v>223</v>
      </c>
      <c r="GA19" s="65">
        <f>FX15+GA15</f>
        <v>40</v>
      </c>
      <c r="GB19" s="72">
        <f>GA18+GA19</f>
        <v>140</v>
      </c>
      <c r="GD19" s="52" t="s">
        <v>222</v>
      </c>
      <c r="GE19" s="69">
        <f>GE12+GH12</f>
        <v>60</v>
      </c>
      <c r="GF19" s="70"/>
      <c r="GG19" s="71" t="s">
        <v>223</v>
      </c>
      <c r="GH19" s="65">
        <f>GE15+GH15</f>
        <v>40</v>
      </c>
      <c r="GI19" s="72">
        <f>GH18+GH19</f>
        <v>140</v>
      </c>
      <c r="GK19" s="52" t="s">
        <v>222</v>
      </c>
      <c r="GL19" s="69">
        <f>GL12+GO12</f>
        <v>60</v>
      </c>
      <c r="GM19" s="70"/>
      <c r="GN19" s="71" t="s">
        <v>223</v>
      </c>
      <c r="GO19" s="65">
        <f>GL15+GO15</f>
        <v>40</v>
      </c>
      <c r="GP19" s="72">
        <f>GO18+GO19</f>
        <v>140</v>
      </c>
      <c r="GR19" s="52" t="s">
        <v>222</v>
      </c>
      <c r="GS19" s="69">
        <f>GS12+GV12</f>
        <v>60</v>
      </c>
      <c r="GT19" s="70"/>
      <c r="GU19" s="71" t="s">
        <v>223</v>
      </c>
      <c r="GV19" s="65">
        <f>GS15+GV15</f>
        <v>40</v>
      </c>
      <c r="GW19" s="72">
        <f>GV18+GV19</f>
        <v>140</v>
      </c>
      <c r="GY19" s="52" t="s">
        <v>222</v>
      </c>
      <c r="GZ19" s="69">
        <f>GZ12+HC12</f>
        <v>60</v>
      </c>
      <c r="HA19" s="70"/>
      <c r="HB19" s="71" t="s">
        <v>223</v>
      </c>
      <c r="HC19" s="65">
        <f>GZ15+HC15</f>
        <v>40</v>
      </c>
      <c r="HD19" s="72">
        <f>HC18+HC19</f>
        <v>140</v>
      </c>
      <c r="HF19" s="52" t="s">
        <v>222</v>
      </c>
      <c r="HG19" s="69">
        <f>HG12+HJ12</f>
        <v>60</v>
      </c>
      <c r="HH19" s="70"/>
      <c r="HI19" s="71" t="s">
        <v>223</v>
      </c>
      <c r="HJ19" s="65">
        <f>HG15+HJ15</f>
        <v>40</v>
      </c>
      <c r="HK19" s="72">
        <f>HJ18+HJ19</f>
        <v>140</v>
      </c>
      <c r="HM19" s="52" t="s">
        <v>222</v>
      </c>
      <c r="HN19" s="69">
        <f>HN12+HQ12</f>
        <v>60</v>
      </c>
      <c r="HO19" s="70"/>
      <c r="HP19" s="71" t="s">
        <v>223</v>
      </c>
      <c r="HQ19" s="65">
        <f>HN15+HQ15</f>
        <v>40</v>
      </c>
      <c r="HR19" s="72">
        <f>HQ18+HQ19</f>
        <v>140</v>
      </c>
      <c r="HT19" s="52" t="s">
        <v>222</v>
      </c>
      <c r="HU19" s="69">
        <f>HU12+HX12</f>
        <v>60</v>
      </c>
      <c r="HV19" s="70"/>
      <c r="HW19" s="71" t="s">
        <v>223</v>
      </c>
      <c r="HX19" s="65">
        <f>HU15+HX15</f>
        <v>40</v>
      </c>
      <c r="HY19" s="72">
        <f>HX18+HX19</f>
        <v>140</v>
      </c>
      <c r="IA19" s="52" t="s">
        <v>222</v>
      </c>
      <c r="IB19" s="69">
        <f>IB12+IE12</f>
        <v>60</v>
      </c>
      <c r="IC19" s="70"/>
      <c r="ID19" s="71" t="s">
        <v>223</v>
      </c>
      <c r="IE19" s="65">
        <f>IB15+IE15</f>
        <v>40</v>
      </c>
      <c r="IF19" s="72">
        <f>IE18+IE19</f>
        <v>140</v>
      </c>
      <c r="IH19" s="52" t="s">
        <v>222</v>
      </c>
      <c r="II19" s="69">
        <f>II12+IL12</f>
        <v>60</v>
      </c>
      <c r="IJ19" s="70"/>
      <c r="IK19" s="71" t="s">
        <v>223</v>
      </c>
      <c r="IL19" s="65">
        <f>II15+IL15</f>
        <v>40</v>
      </c>
      <c r="IM19" s="72">
        <f>IL18+IL19</f>
        <v>140</v>
      </c>
      <c r="IO19" s="52" t="s">
        <v>222</v>
      </c>
      <c r="IP19" s="69">
        <f>IP12+IS12</f>
        <v>60</v>
      </c>
      <c r="IQ19" s="70"/>
      <c r="IR19" s="71" t="s">
        <v>223</v>
      </c>
      <c r="IS19" s="65">
        <f>IP15+IS15</f>
        <v>40</v>
      </c>
      <c r="IT19" s="72">
        <f>IS18+IS19</f>
        <v>140</v>
      </c>
    </row>
    <row r="20" spans="4:254" x14ac:dyDescent="0.2">
      <c r="D20" s="62" t="s">
        <v>224</v>
      </c>
      <c r="E20" s="69">
        <f>E13+H13</f>
        <v>10</v>
      </c>
      <c r="F20" s="73"/>
      <c r="G20" s="74" t="s">
        <v>225</v>
      </c>
      <c r="H20" s="65">
        <f>E16+H16</f>
        <v>0</v>
      </c>
      <c r="I20" s="54"/>
      <c r="K20" s="62" t="s">
        <v>224</v>
      </c>
      <c r="L20" s="69">
        <f>L13+O13</f>
        <v>13</v>
      </c>
      <c r="M20" s="73"/>
      <c r="N20" s="74" t="s">
        <v>225</v>
      </c>
      <c r="O20" s="65">
        <f>L16+O16</f>
        <v>0</v>
      </c>
      <c r="P20" s="54"/>
      <c r="R20" s="62" t="s">
        <v>224</v>
      </c>
      <c r="S20" s="69">
        <f>S13+V13</f>
        <v>9.5</v>
      </c>
      <c r="T20" s="73"/>
      <c r="U20" s="74" t="s">
        <v>225</v>
      </c>
      <c r="V20" s="65">
        <f>S16+V16</f>
        <v>0</v>
      </c>
      <c r="W20" s="54"/>
      <c r="Y20" s="62" t="s">
        <v>224</v>
      </c>
      <c r="Z20" s="69">
        <f>Z13+AC13</f>
        <v>1.25</v>
      </c>
      <c r="AA20" s="73"/>
      <c r="AB20" s="74" t="s">
        <v>225</v>
      </c>
      <c r="AC20" s="65">
        <f>Z16+AC16</f>
        <v>0</v>
      </c>
      <c r="AD20" s="54"/>
      <c r="AF20" s="62" t="s">
        <v>224</v>
      </c>
      <c r="AG20" s="69">
        <f>AG13+AJ13</f>
        <v>12.25</v>
      </c>
      <c r="AH20" s="73"/>
      <c r="AI20" s="74" t="s">
        <v>225</v>
      </c>
      <c r="AJ20" s="65">
        <f>AG16+AJ16</f>
        <v>0</v>
      </c>
      <c r="AK20" s="54"/>
      <c r="AM20" s="62" t="s">
        <v>224</v>
      </c>
      <c r="AN20" s="69">
        <f>AN13+AQ13</f>
        <v>15.925000000000001</v>
      </c>
      <c r="AO20" s="73"/>
      <c r="AP20" s="74" t="s">
        <v>225</v>
      </c>
      <c r="AQ20" s="65">
        <f>AN16+AQ16</f>
        <v>0</v>
      </c>
      <c r="AR20" s="54"/>
      <c r="AT20" s="62" t="s">
        <v>224</v>
      </c>
      <c r="AU20" s="69">
        <f>AU13+AX13</f>
        <v>11.637499999999999</v>
      </c>
      <c r="AV20" s="73"/>
      <c r="AW20" s="74" t="s">
        <v>225</v>
      </c>
      <c r="AX20" s="65">
        <f>AU16+AX16</f>
        <v>0</v>
      </c>
      <c r="AY20" s="54"/>
      <c r="BA20" s="62" t="s">
        <v>224</v>
      </c>
      <c r="BB20" s="69">
        <f>BB13+BE13</f>
        <v>1.53125</v>
      </c>
      <c r="BC20" s="73"/>
      <c r="BD20" s="74" t="s">
        <v>225</v>
      </c>
      <c r="BE20" s="65">
        <f>BB16+BE16</f>
        <v>0</v>
      </c>
      <c r="BF20" s="54"/>
      <c r="BH20" s="62" t="s">
        <v>224</v>
      </c>
      <c r="BI20" s="69">
        <f>BI13+BL13</f>
        <v>14.5</v>
      </c>
      <c r="BJ20" s="73"/>
      <c r="BK20" s="74" t="s">
        <v>225</v>
      </c>
      <c r="BL20" s="65">
        <f>BI16+BL16</f>
        <v>0</v>
      </c>
      <c r="BM20" s="54"/>
      <c r="BO20" s="62" t="s">
        <v>224</v>
      </c>
      <c r="BP20" s="69">
        <f>BP13+BS13</f>
        <v>18.850000000000001</v>
      </c>
      <c r="BQ20" s="73"/>
      <c r="BR20" s="74" t="s">
        <v>225</v>
      </c>
      <c r="BS20" s="65">
        <f>BP16+BS16</f>
        <v>0</v>
      </c>
      <c r="BT20" s="54"/>
      <c r="BV20" s="62" t="s">
        <v>224</v>
      </c>
      <c r="BW20" s="69">
        <f>BW13+BZ13</f>
        <v>13.775</v>
      </c>
      <c r="BX20" s="73"/>
      <c r="BY20" s="74" t="s">
        <v>225</v>
      </c>
      <c r="BZ20" s="65">
        <f>BW16+BZ16</f>
        <v>0</v>
      </c>
      <c r="CA20" s="54"/>
      <c r="CC20" s="62" t="s">
        <v>224</v>
      </c>
      <c r="CD20" s="69">
        <f>CD13+CG13</f>
        <v>1.8125</v>
      </c>
      <c r="CE20" s="73"/>
      <c r="CF20" s="74" t="s">
        <v>225</v>
      </c>
      <c r="CG20" s="65">
        <f>CD16+CG16</f>
        <v>0</v>
      </c>
      <c r="CH20" s="54"/>
      <c r="CJ20" s="62" t="s">
        <v>224</v>
      </c>
      <c r="CK20" s="69">
        <f>CK13+CN13</f>
        <v>80</v>
      </c>
      <c r="CL20" s="73"/>
      <c r="CM20" s="74" t="s">
        <v>225</v>
      </c>
      <c r="CN20" s="65">
        <f>CK16+CN16</f>
        <v>10</v>
      </c>
      <c r="CO20" s="54"/>
      <c r="CQ20" s="62" t="s">
        <v>224</v>
      </c>
      <c r="CR20" s="69">
        <f>CR13+CU13</f>
        <v>80</v>
      </c>
      <c r="CS20" s="73"/>
      <c r="CT20" s="74" t="s">
        <v>225</v>
      </c>
      <c r="CU20" s="65">
        <f>CR16+CU16</f>
        <v>10</v>
      </c>
      <c r="CV20" s="54"/>
      <c r="CX20" s="62" t="s">
        <v>224</v>
      </c>
      <c r="CY20" s="69">
        <f>CY13+DB13</f>
        <v>80</v>
      </c>
      <c r="CZ20" s="73"/>
      <c r="DA20" s="74" t="s">
        <v>225</v>
      </c>
      <c r="DB20" s="65">
        <f>CY16+DB16</f>
        <v>10</v>
      </c>
      <c r="DC20" s="54"/>
      <c r="DE20" s="62" t="s">
        <v>224</v>
      </c>
      <c r="DF20" s="69">
        <f>DF13+DI13</f>
        <v>80</v>
      </c>
      <c r="DG20" s="73"/>
      <c r="DH20" s="74" t="s">
        <v>225</v>
      </c>
      <c r="DI20" s="65">
        <f>DF16+DI16</f>
        <v>10</v>
      </c>
      <c r="DJ20" s="54"/>
      <c r="DL20" s="62" t="s">
        <v>224</v>
      </c>
      <c r="DM20" s="69">
        <f>DM13+DP13</f>
        <v>80</v>
      </c>
      <c r="DN20" s="73"/>
      <c r="DO20" s="74" t="s">
        <v>225</v>
      </c>
      <c r="DP20" s="65">
        <f>DM16+DP16</f>
        <v>10</v>
      </c>
      <c r="DQ20" s="54"/>
      <c r="DS20" s="62" t="s">
        <v>224</v>
      </c>
      <c r="DT20" s="69">
        <f>DT13+DW13</f>
        <v>80</v>
      </c>
      <c r="DU20" s="73"/>
      <c r="DV20" s="74" t="s">
        <v>225</v>
      </c>
      <c r="DW20" s="65">
        <f>DT16+DW16</f>
        <v>10</v>
      </c>
      <c r="DX20" s="54"/>
      <c r="DZ20" s="62" t="s">
        <v>224</v>
      </c>
      <c r="EA20" s="69">
        <f>EA13+ED13</f>
        <v>80</v>
      </c>
      <c r="EB20" s="73"/>
      <c r="EC20" s="74" t="s">
        <v>225</v>
      </c>
      <c r="ED20" s="65">
        <f>EA16+ED16</f>
        <v>10</v>
      </c>
      <c r="EE20" s="54"/>
      <c r="EG20" s="62" t="s">
        <v>224</v>
      </c>
      <c r="EH20" s="69">
        <f>EH13+EK13</f>
        <v>80</v>
      </c>
      <c r="EI20" s="73"/>
      <c r="EJ20" s="74" t="s">
        <v>225</v>
      </c>
      <c r="EK20" s="65">
        <f>EH16+EK16</f>
        <v>10</v>
      </c>
      <c r="EL20" s="54"/>
      <c r="EN20" s="62" t="s">
        <v>224</v>
      </c>
      <c r="EO20" s="69">
        <f>EO13+ER13</f>
        <v>80</v>
      </c>
      <c r="EP20" s="73"/>
      <c r="EQ20" s="74" t="s">
        <v>225</v>
      </c>
      <c r="ER20" s="65">
        <f>EO16+ER16</f>
        <v>0</v>
      </c>
      <c r="ES20" s="54"/>
      <c r="EU20" s="62" t="s">
        <v>224</v>
      </c>
      <c r="EV20" s="69">
        <f>EV13+EY13</f>
        <v>80</v>
      </c>
      <c r="EW20" s="73"/>
      <c r="EX20" s="74" t="s">
        <v>225</v>
      </c>
      <c r="EY20" s="65">
        <f>EV16+EY16</f>
        <v>0</v>
      </c>
      <c r="EZ20" s="54"/>
      <c r="FB20" s="62" t="s">
        <v>224</v>
      </c>
      <c r="FC20" s="69">
        <f>FC13+FF13</f>
        <v>80</v>
      </c>
      <c r="FD20" s="73"/>
      <c r="FE20" s="74" t="s">
        <v>225</v>
      </c>
      <c r="FF20" s="65">
        <f>FC16+FF16</f>
        <v>0</v>
      </c>
      <c r="FG20" s="54"/>
      <c r="FI20" s="62" t="s">
        <v>224</v>
      </c>
      <c r="FJ20" s="69">
        <f>FJ13+FM13</f>
        <v>80</v>
      </c>
      <c r="FK20" s="73"/>
      <c r="FL20" s="74" t="s">
        <v>225</v>
      </c>
      <c r="FM20" s="65">
        <f>FJ16+FM16</f>
        <v>0</v>
      </c>
      <c r="FN20" s="54"/>
      <c r="FP20" s="62" t="s">
        <v>224</v>
      </c>
      <c r="FQ20" s="69">
        <f>FQ13+FT13</f>
        <v>80</v>
      </c>
      <c r="FR20" s="73"/>
      <c r="FS20" s="74" t="s">
        <v>225</v>
      </c>
      <c r="FT20" s="65">
        <f>FQ16+FT16</f>
        <v>0</v>
      </c>
      <c r="FU20" s="54"/>
      <c r="FW20" s="62" t="s">
        <v>224</v>
      </c>
      <c r="FX20" s="69">
        <f>FX13+GA13</f>
        <v>80</v>
      </c>
      <c r="FY20" s="73"/>
      <c r="FZ20" s="74" t="s">
        <v>225</v>
      </c>
      <c r="GA20" s="65">
        <f>FX16+GA16</f>
        <v>0</v>
      </c>
      <c r="GB20" s="54"/>
      <c r="GD20" s="62" t="s">
        <v>224</v>
      </c>
      <c r="GE20" s="69">
        <f>GE13+GH13</f>
        <v>80</v>
      </c>
      <c r="GF20" s="73"/>
      <c r="GG20" s="74" t="s">
        <v>225</v>
      </c>
      <c r="GH20" s="65">
        <f>GE16+GH16</f>
        <v>0</v>
      </c>
      <c r="GI20" s="54"/>
      <c r="GK20" s="62" t="s">
        <v>224</v>
      </c>
      <c r="GL20" s="69">
        <f>GL13+GO13</f>
        <v>80</v>
      </c>
      <c r="GM20" s="73"/>
      <c r="GN20" s="74" t="s">
        <v>225</v>
      </c>
      <c r="GO20" s="65">
        <f>GL16+GO16</f>
        <v>0</v>
      </c>
      <c r="GP20" s="54"/>
      <c r="GR20" s="62" t="s">
        <v>224</v>
      </c>
      <c r="GS20" s="69">
        <f>GS13+GV13</f>
        <v>80</v>
      </c>
      <c r="GT20" s="73"/>
      <c r="GU20" s="74" t="s">
        <v>225</v>
      </c>
      <c r="GV20" s="65">
        <f>GS16+GV16</f>
        <v>0</v>
      </c>
      <c r="GW20" s="54"/>
      <c r="GY20" s="62" t="s">
        <v>224</v>
      </c>
      <c r="GZ20" s="69">
        <f>GZ13+HC13</f>
        <v>80</v>
      </c>
      <c r="HA20" s="73"/>
      <c r="HB20" s="74" t="s">
        <v>225</v>
      </c>
      <c r="HC20" s="65">
        <f>GZ16+HC16</f>
        <v>0</v>
      </c>
      <c r="HD20" s="54"/>
      <c r="HF20" s="62" t="s">
        <v>224</v>
      </c>
      <c r="HG20" s="69">
        <f>HG13+HJ13</f>
        <v>80</v>
      </c>
      <c r="HH20" s="73"/>
      <c r="HI20" s="74" t="s">
        <v>225</v>
      </c>
      <c r="HJ20" s="65">
        <f>HG16+HJ16</f>
        <v>0</v>
      </c>
      <c r="HK20" s="54"/>
      <c r="HM20" s="62" t="s">
        <v>224</v>
      </c>
      <c r="HN20" s="69">
        <f>HN13+HQ13</f>
        <v>80</v>
      </c>
      <c r="HO20" s="73"/>
      <c r="HP20" s="74" t="s">
        <v>225</v>
      </c>
      <c r="HQ20" s="65">
        <f>HN16+HQ16</f>
        <v>0</v>
      </c>
      <c r="HR20" s="54"/>
      <c r="HT20" s="62" t="s">
        <v>224</v>
      </c>
      <c r="HU20" s="69">
        <f>HU13+HX13</f>
        <v>80</v>
      </c>
      <c r="HV20" s="73"/>
      <c r="HW20" s="74" t="s">
        <v>225</v>
      </c>
      <c r="HX20" s="65">
        <f>HU16+HX16</f>
        <v>0</v>
      </c>
      <c r="HY20" s="54"/>
      <c r="IA20" s="62" t="s">
        <v>224</v>
      </c>
      <c r="IB20" s="69">
        <f>IB13+IE13</f>
        <v>80</v>
      </c>
      <c r="IC20" s="73"/>
      <c r="ID20" s="74" t="s">
        <v>225</v>
      </c>
      <c r="IE20" s="65">
        <f>IB16+IE16</f>
        <v>0</v>
      </c>
      <c r="IF20" s="54"/>
      <c r="IH20" s="62" t="s">
        <v>224</v>
      </c>
      <c r="II20" s="69">
        <f>II13+IL13</f>
        <v>80</v>
      </c>
      <c r="IJ20" s="73"/>
      <c r="IK20" s="74" t="s">
        <v>225</v>
      </c>
      <c r="IL20" s="65">
        <f>II16+IL16</f>
        <v>0</v>
      </c>
      <c r="IM20" s="54"/>
      <c r="IO20" s="62" t="s">
        <v>224</v>
      </c>
      <c r="IP20" s="69">
        <f>IP13+IS13</f>
        <v>80</v>
      </c>
      <c r="IQ20" s="73"/>
      <c r="IR20" s="74" t="s">
        <v>225</v>
      </c>
      <c r="IS20" s="65">
        <f>IP16+IS16</f>
        <v>0</v>
      </c>
      <c r="IT20" s="54"/>
    </row>
    <row r="21" spans="4:254" x14ac:dyDescent="0.2">
      <c r="D21" s="216" t="s">
        <v>226</v>
      </c>
      <c r="E21" s="216"/>
      <c r="F21" s="216"/>
      <c r="G21" s="216"/>
      <c r="H21" s="216"/>
      <c r="I21" s="216"/>
      <c r="K21" s="216" t="s">
        <v>226</v>
      </c>
      <c r="L21" s="216"/>
      <c r="M21" s="216"/>
      <c r="N21" s="216"/>
      <c r="O21" s="216"/>
      <c r="P21" s="216"/>
      <c r="R21" s="216" t="s">
        <v>226</v>
      </c>
      <c r="S21" s="216"/>
      <c r="T21" s="216"/>
      <c r="U21" s="216"/>
      <c r="V21" s="216"/>
      <c r="W21" s="216"/>
      <c r="Y21" s="216" t="s">
        <v>226</v>
      </c>
      <c r="Z21" s="216"/>
      <c r="AA21" s="216"/>
      <c r="AB21" s="216"/>
      <c r="AC21" s="216"/>
      <c r="AD21" s="216"/>
      <c r="AF21" s="216" t="s">
        <v>226</v>
      </c>
      <c r="AG21" s="216"/>
      <c r="AH21" s="216"/>
      <c r="AI21" s="216"/>
      <c r="AJ21" s="216"/>
      <c r="AK21" s="216"/>
      <c r="AM21" s="216" t="s">
        <v>226</v>
      </c>
      <c r="AN21" s="216"/>
      <c r="AO21" s="216"/>
      <c r="AP21" s="216"/>
      <c r="AQ21" s="216"/>
      <c r="AR21" s="216"/>
      <c r="AT21" s="216" t="s">
        <v>226</v>
      </c>
      <c r="AU21" s="216"/>
      <c r="AV21" s="216"/>
      <c r="AW21" s="216"/>
      <c r="AX21" s="216"/>
      <c r="AY21" s="216"/>
      <c r="BA21" s="216" t="s">
        <v>226</v>
      </c>
      <c r="BB21" s="216"/>
      <c r="BC21" s="216"/>
      <c r="BD21" s="216"/>
      <c r="BE21" s="216"/>
      <c r="BF21" s="216"/>
      <c r="BH21" s="216" t="s">
        <v>226</v>
      </c>
      <c r="BI21" s="216"/>
      <c r="BJ21" s="216"/>
      <c r="BK21" s="216"/>
      <c r="BL21" s="216"/>
      <c r="BM21" s="216"/>
      <c r="BO21" s="216" t="s">
        <v>226</v>
      </c>
      <c r="BP21" s="216"/>
      <c r="BQ21" s="216"/>
      <c r="BR21" s="216"/>
      <c r="BS21" s="216"/>
      <c r="BT21" s="216"/>
      <c r="BV21" s="216" t="s">
        <v>226</v>
      </c>
      <c r="BW21" s="216"/>
      <c r="BX21" s="216"/>
      <c r="BY21" s="216"/>
      <c r="BZ21" s="216"/>
      <c r="CA21" s="216"/>
      <c r="CC21" s="216" t="s">
        <v>226</v>
      </c>
      <c r="CD21" s="216"/>
      <c r="CE21" s="216"/>
      <c r="CF21" s="216"/>
      <c r="CG21" s="216"/>
      <c r="CH21" s="216"/>
      <c r="CJ21" s="216" t="s">
        <v>226</v>
      </c>
      <c r="CK21" s="216"/>
      <c r="CL21" s="216"/>
      <c r="CM21" s="216"/>
      <c r="CN21" s="216"/>
      <c r="CO21" s="216"/>
      <c r="CQ21" s="216" t="s">
        <v>226</v>
      </c>
      <c r="CR21" s="216"/>
      <c r="CS21" s="216"/>
      <c r="CT21" s="216"/>
      <c r="CU21" s="216"/>
      <c r="CV21" s="216"/>
      <c r="CX21" s="216" t="s">
        <v>226</v>
      </c>
      <c r="CY21" s="216"/>
      <c r="CZ21" s="216"/>
      <c r="DA21" s="216"/>
      <c r="DB21" s="216"/>
      <c r="DC21" s="216"/>
      <c r="DE21" s="216" t="s">
        <v>226</v>
      </c>
      <c r="DF21" s="216"/>
      <c r="DG21" s="216"/>
      <c r="DH21" s="216"/>
      <c r="DI21" s="216"/>
      <c r="DJ21" s="216"/>
      <c r="DL21" s="216" t="s">
        <v>226</v>
      </c>
      <c r="DM21" s="216"/>
      <c r="DN21" s="216"/>
      <c r="DO21" s="216"/>
      <c r="DP21" s="216"/>
      <c r="DQ21" s="216"/>
      <c r="DS21" s="216" t="s">
        <v>226</v>
      </c>
      <c r="DT21" s="216"/>
      <c r="DU21" s="216"/>
      <c r="DV21" s="216"/>
      <c r="DW21" s="216"/>
      <c r="DX21" s="216"/>
      <c r="DZ21" s="216" t="s">
        <v>226</v>
      </c>
      <c r="EA21" s="216"/>
      <c r="EB21" s="216"/>
      <c r="EC21" s="216"/>
      <c r="ED21" s="216"/>
      <c r="EE21" s="216"/>
      <c r="EG21" s="216" t="s">
        <v>226</v>
      </c>
      <c r="EH21" s="216"/>
      <c r="EI21" s="216"/>
      <c r="EJ21" s="216"/>
      <c r="EK21" s="216"/>
      <c r="EL21" s="216"/>
      <c r="EN21" s="216" t="s">
        <v>226</v>
      </c>
      <c r="EO21" s="216"/>
      <c r="EP21" s="216"/>
      <c r="EQ21" s="216"/>
      <c r="ER21" s="216"/>
      <c r="ES21" s="216"/>
      <c r="EU21" s="216" t="s">
        <v>226</v>
      </c>
      <c r="EV21" s="216"/>
      <c r="EW21" s="216"/>
      <c r="EX21" s="216"/>
      <c r="EY21" s="216"/>
      <c r="EZ21" s="216"/>
      <c r="FB21" s="216" t="s">
        <v>226</v>
      </c>
      <c r="FC21" s="216"/>
      <c r="FD21" s="216"/>
      <c r="FE21" s="216"/>
      <c r="FF21" s="216"/>
      <c r="FG21" s="216"/>
      <c r="FI21" s="216" t="s">
        <v>226</v>
      </c>
      <c r="FJ21" s="216"/>
      <c r="FK21" s="216"/>
      <c r="FL21" s="216"/>
      <c r="FM21" s="216"/>
      <c r="FN21" s="216"/>
      <c r="FP21" s="216" t="s">
        <v>226</v>
      </c>
      <c r="FQ21" s="216"/>
      <c r="FR21" s="216"/>
      <c r="FS21" s="216"/>
      <c r="FT21" s="216"/>
      <c r="FU21" s="216"/>
      <c r="FW21" s="216" t="s">
        <v>226</v>
      </c>
      <c r="FX21" s="216"/>
      <c r="FY21" s="216"/>
      <c r="FZ21" s="216"/>
      <c r="GA21" s="216"/>
      <c r="GB21" s="216"/>
      <c r="GD21" s="216" t="s">
        <v>226</v>
      </c>
      <c r="GE21" s="216"/>
      <c r="GF21" s="216"/>
      <c r="GG21" s="216"/>
      <c r="GH21" s="216"/>
      <c r="GI21" s="216"/>
      <c r="GK21" s="216" t="s">
        <v>226</v>
      </c>
      <c r="GL21" s="216"/>
      <c r="GM21" s="216"/>
      <c r="GN21" s="216"/>
      <c r="GO21" s="216"/>
      <c r="GP21" s="216"/>
      <c r="GR21" s="216" t="s">
        <v>226</v>
      </c>
      <c r="GS21" s="216"/>
      <c r="GT21" s="216"/>
      <c r="GU21" s="216"/>
      <c r="GV21" s="216"/>
      <c r="GW21" s="216"/>
      <c r="GY21" s="216" t="s">
        <v>226</v>
      </c>
      <c r="GZ21" s="216"/>
      <c r="HA21" s="216"/>
      <c r="HB21" s="216"/>
      <c r="HC21" s="216"/>
      <c r="HD21" s="216"/>
      <c r="HF21" s="216" t="s">
        <v>226</v>
      </c>
      <c r="HG21" s="216"/>
      <c r="HH21" s="216"/>
      <c r="HI21" s="216"/>
      <c r="HJ21" s="216"/>
      <c r="HK21" s="216"/>
      <c r="HM21" s="216" t="s">
        <v>226</v>
      </c>
      <c r="HN21" s="216"/>
      <c r="HO21" s="216"/>
      <c r="HP21" s="216"/>
      <c r="HQ21" s="216"/>
      <c r="HR21" s="216"/>
      <c r="HT21" s="216" t="s">
        <v>226</v>
      </c>
      <c r="HU21" s="216"/>
      <c r="HV21" s="216"/>
      <c r="HW21" s="216"/>
      <c r="HX21" s="216"/>
      <c r="HY21" s="216"/>
      <c r="IA21" s="216" t="s">
        <v>226</v>
      </c>
      <c r="IB21" s="216"/>
      <c r="IC21" s="216"/>
      <c r="ID21" s="216"/>
      <c r="IE21" s="216"/>
      <c r="IF21" s="216"/>
      <c r="IH21" s="216" t="s">
        <v>226</v>
      </c>
      <c r="II21" s="216"/>
      <c r="IJ21" s="216"/>
      <c r="IK21" s="216"/>
      <c r="IL21" s="216"/>
      <c r="IM21" s="216"/>
      <c r="IO21" s="216" t="s">
        <v>226</v>
      </c>
      <c r="IP21" s="216"/>
      <c r="IQ21" s="216"/>
      <c r="IR21" s="216"/>
      <c r="IS21" s="216"/>
      <c r="IT21" s="216"/>
    </row>
    <row r="22" spans="4:254" x14ac:dyDescent="0.2">
      <c r="D22" s="75" t="s">
        <v>227</v>
      </c>
      <c r="E22" s="76">
        <f>IF(E18 = 0, 0.5, E11/E18)</f>
        <v>0.45774647887323944</v>
      </c>
      <c r="F22" s="77"/>
      <c r="G22" s="64" t="s">
        <v>228</v>
      </c>
      <c r="H22" s="76">
        <f t="shared" ref="H22:H27" si="72">1-E22</f>
        <v>0.54225352112676051</v>
      </c>
      <c r="I22" s="78"/>
      <c r="K22" s="75" t="s">
        <v>227</v>
      </c>
      <c r="L22" s="76">
        <f>IF(L18 = 0, 0.5, L11/L18)</f>
        <v>0.51533742331288346</v>
      </c>
      <c r="M22" s="77"/>
      <c r="N22" s="64" t="s">
        <v>228</v>
      </c>
      <c r="O22" s="76">
        <f t="shared" ref="O22:O27" si="73">1-L22</f>
        <v>0.48466257668711654</v>
      </c>
      <c r="P22" s="78"/>
      <c r="R22" s="75" t="s">
        <v>227</v>
      </c>
      <c r="S22" s="76">
        <f>IF(S18 = 0, 0.5, S11/S18)</f>
        <v>0.50039840637450195</v>
      </c>
      <c r="T22" s="77"/>
      <c r="U22" s="64" t="s">
        <v>228</v>
      </c>
      <c r="V22" s="76">
        <f t="shared" ref="V22:V27" si="74">1-S22</f>
        <v>0.49960159362549805</v>
      </c>
      <c r="W22" s="78"/>
      <c r="Y22" s="75" t="s">
        <v>227</v>
      </c>
      <c r="Z22" s="76">
        <f>IF(Z18 = 0, 0.5, Z11/Z18)</f>
        <v>0.55312500000000009</v>
      </c>
      <c r="AA22" s="77"/>
      <c r="AB22" s="64" t="s">
        <v>228</v>
      </c>
      <c r="AC22" s="76">
        <f t="shared" ref="AC22:AC27" si="75">1-Z22</f>
        <v>0.44687499999999991</v>
      </c>
      <c r="AD22" s="78"/>
      <c r="AF22" s="75" t="s">
        <v>227</v>
      </c>
      <c r="AG22" s="76">
        <f>IF(AG18 = 0, 0.5, AG11/AG18)</f>
        <v>0.45774647887323949</v>
      </c>
      <c r="AH22" s="77"/>
      <c r="AI22" s="64" t="s">
        <v>228</v>
      </c>
      <c r="AJ22" s="76">
        <f t="shared" ref="AJ22:AJ27" si="76">1-AG22</f>
        <v>0.54225352112676051</v>
      </c>
      <c r="AK22" s="78"/>
      <c r="AM22" s="75" t="s">
        <v>227</v>
      </c>
      <c r="AN22" s="76">
        <f>IF(AN18 = 0, 0.5, AN11/AN18)</f>
        <v>0.51533742331288346</v>
      </c>
      <c r="AO22" s="77"/>
      <c r="AP22" s="64" t="s">
        <v>228</v>
      </c>
      <c r="AQ22" s="76">
        <f t="shared" ref="AQ22:AQ27" si="77">1-AN22</f>
        <v>0.48466257668711654</v>
      </c>
      <c r="AR22" s="78"/>
      <c r="AT22" s="75" t="s">
        <v>227</v>
      </c>
      <c r="AU22" s="76">
        <f>IF(AU18 = 0, 0.5, AU11/AU18)</f>
        <v>0.50039840637450195</v>
      </c>
      <c r="AV22" s="77"/>
      <c r="AW22" s="64" t="s">
        <v>228</v>
      </c>
      <c r="AX22" s="76">
        <f t="shared" ref="AX22:AX27" si="78">1-AU22</f>
        <v>0.49960159362549805</v>
      </c>
      <c r="AY22" s="78"/>
      <c r="BA22" s="75" t="s">
        <v>227</v>
      </c>
      <c r="BB22" s="76">
        <f>IF(BB18 = 0, 0.5, BB11/BB18)</f>
        <v>0.55312499999999998</v>
      </c>
      <c r="BC22" s="77"/>
      <c r="BD22" s="64" t="s">
        <v>228</v>
      </c>
      <c r="BE22" s="76">
        <f t="shared" ref="BE22:BE27" si="79">1-BB22</f>
        <v>0.44687500000000002</v>
      </c>
      <c r="BF22" s="78"/>
      <c r="BH22" s="75" t="s">
        <v>227</v>
      </c>
      <c r="BI22" s="76">
        <f>IF(BI18 = 0, 0.5, BI11/BI18)</f>
        <v>0.45774647887323949</v>
      </c>
      <c r="BJ22" s="77"/>
      <c r="BK22" s="64" t="s">
        <v>228</v>
      </c>
      <c r="BL22" s="76">
        <f t="shared" ref="BL22:BL27" si="80">1-BI22</f>
        <v>0.54225352112676051</v>
      </c>
      <c r="BM22" s="78"/>
      <c r="BO22" s="75" t="s">
        <v>227</v>
      </c>
      <c r="BP22" s="76">
        <f>IF(BP18 = 0, 0.5, BP11/BP18)</f>
        <v>0.51533742331288346</v>
      </c>
      <c r="BQ22" s="77"/>
      <c r="BR22" s="64" t="s">
        <v>228</v>
      </c>
      <c r="BS22" s="76">
        <f t="shared" ref="BS22:BS27" si="81">1-BP22</f>
        <v>0.48466257668711654</v>
      </c>
      <c r="BT22" s="78"/>
      <c r="BV22" s="75" t="s">
        <v>227</v>
      </c>
      <c r="BW22" s="76">
        <f>IF(BW18 = 0, 0.5, BW11/BW18)</f>
        <v>0.50039840637450195</v>
      </c>
      <c r="BX22" s="77"/>
      <c r="BY22" s="64" t="s">
        <v>228</v>
      </c>
      <c r="BZ22" s="76">
        <f t="shared" ref="BZ22:BZ27" si="82">1-BW22</f>
        <v>0.49960159362549805</v>
      </c>
      <c r="CA22" s="78"/>
      <c r="CC22" s="75" t="s">
        <v>227</v>
      </c>
      <c r="CD22" s="76">
        <f>IF(CD18 = 0, 0.5, CD11/CD18)</f>
        <v>0.55312499999999998</v>
      </c>
      <c r="CE22" s="77"/>
      <c r="CF22" s="64" t="s">
        <v>228</v>
      </c>
      <c r="CG22" s="76">
        <f t="shared" ref="CG22:CG27" si="83">1-CD22</f>
        <v>0.44687500000000002</v>
      </c>
      <c r="CH22" s="78"/>
      <c r="CJ22" s="75" t="s">
        <v>227</v>
      </c>
      <c r="CK22" s="76">
        <f>IF(CK18 = 0, 0.5, CK11/CK18)</f>
        <v>0.5</v>
      </c>
      <c r="CL22" s="77"/>
      <c r="CM22" s="64" t="s">
        <v>228</v>
      </c>
      <c r="CN22" s="76">
        <f t="shared" ref="CN22:CN27" si="84">1-CK22</f>
        <v>0.5</v>
      </c>
      <c r="CO22" s="78"/>
      <c r="CQ22" s="75" t="s">
        <v>227</v>
      </c>
      <c r="CR22" s="76">
        <f>IF(CR18 = 0, 0.5, CR11/CR18)</f>
        <v>0.5</v>
      </c>
      <c r="CS22" s="77"/>
      <c r="CT22" s="64" t="s">
        <v>228</v>
      </c>
      <c r="CU22" s="76">
        <f t="shared" ref="CU22:CU27" si="85">1-CR22</f>
        <v>0.5</v>
      </c>
      <c r="CV22" s="78"/>
      <c r="CX22" s="75" t="s">
        <v>227</v>
      </c>
      <c r="CY22" s="76">
        <f>IF(CY18 = 0, 0.5, CY11/CY18)</f>
        <v>0.5</v>
      </c>
      <c r="CZ22" s="77"/>
      <c r="DA22" s="64" t="s">
        <v>228</v>
      </c>
      <c r="DB22" s="76">
        <f t="shared" ref="DB22:DB27" si="86">1-CY22</f>
        <v>0.5</v>
      </c>
      <c r="DC22" s="78"/>
      <c r="DE22" s="75" t="s">
        <v>227</v>
      </c>
      <c r="DF22" s="76">
        <f>IF(DF18 = 0, 0.5, DF11/DF18)</f>
        <v>0.5</v>
      </c>
      <c r="DG22" s="77"/>
      <c r="DH22" s="64" t="s">
        <v>228</v>
      </c>
      <c r="DI22" s="76">
        <f t="shared" ref="DI22:DI27" si="87">1-DF22</f>
        <v>0.5</v>
      </c>
      <c r="DJ22" s="78"/>
      <c r="DL22" s="75" t="s">
        <v>227</v>
      </c>
      <c r="DM22" s="76">
        <f>IF(DM18 = 0, 0.5, DM11/DM18)</f>
        <v>0.5</v>
      </c>
      <c r="DN22" s="77"/>
      <c r="DO22" s="64" t="s">
        <v>228</v>
      </c>
      <c r="DP22" s="76">
        <f t="shared" ref="DP22:DP27" si="88">1-DM22</f>
        <v>0.5</v>
      </c>
      <c r="DQ22" s="78"/>
      <c r="DS22" s="75" t="s">
        <v>227</v>
      </c>
      <c r="DT22" s="76">
        <f>IF(DT18 = 0, 0.5, DT11/DT18)</f>
        <v>0.5</v>
      </c>
      <c r="DU22" s="77"/>
      <c r="DV22" s="64" t="s">
        <v>228</v>
      </c>
      <c r="DW22" s="76">
        <f t="shared" ref="DW22:DW27" si="89">1-DT22</f>
        <v>0.5</v>
      </c>
      <c r="DX22" s="78"/>
      <c r="DZ22" s="75" t="s">
        <v>227</v>
      </c>
      <c r="EA22" s="76">
        <f>IF(EA18 = 0, 0.5, EA11/EA18)</f>
        <v>0.5</v>
      </c>
      <c r="EB22" s="77"/>
      <c r="EC22" s="64" t="s">
        <v>228</v>
      </c>
      <c r="ED22" s="76">
        <f t="shared" ref="ED22:ED27" si="90">1-EA22</f>
        <v>0.5</v>
      </c>
      <c r="EE22" s="78"/>
      <c r="EG22" s="75" t="s">
        <v>227</v>
      </c>
      <c r="EH22" s="76">
        <f>IF(EH18 = 0, 0.5, EH11/EH18)</f>
        <v>0.5</v>
      </c>
      <c r="EI22" s="77"/>
      <c r="EJ22" s="64" t="s">
        <v>228</v>
      </c>
      <c r="EK22" s="76">
        <f t="shared" ref="EK22:EK27" si="91">1-EH22</f>
        <v>0.5</v>
      </c>
      <c r="EL22" s="78"/>
      <c r="EN22" s="75" t="s">
        <v>227</v>
      </c>
      <c r="EO22" s="76">
        <f>IF(EO18 = 0, 0.5, EO11/EO18)</f>
        <v>0.5</v>
      </c>
      <c r="EP22" s="77"/>
      <c r="EQ22" s="64" t="s">
        <v>228</v>
      </c>
      <c r="ER22" s="76">
        <f t="shared" ref="ER22:ER27" si="92">1-EO22</f>
        <v>0.5</v>
      </c>
      <c r="ES22" s="78"/>
      <c r="EU22" s="75" t="s">
        <v>227</v>
      </c>
      <c r="EV22" s="76">
        <f>IF(EV18 = 0, 0.5, EV11/EV18)</f>
        <v>0.5</v>
      </c>
      <c r="EW22" s="77"/>
      <c r="EX22" s="64" t="s">
        <v>228</v>
      </c>
      <c r="EY22" s="76">
        <f t="shared" ref="EY22:EY27" si="93">1-EV22</f>
        <v>0.5</v>
      </c>
      <c r="EZ22" s="78"/>
      <c r="FB22" s="75" t="s">
        <v>227</v>
      </c>
      <c r="FC22" s="76">
        <f>IF(FC18 = 0, 0.5, FC11/FC18)</f>
        <v>0.5</v>
      </c>
      <c r="FD22" s="77"/>
      <c r="FE22" s="64" t="s">
        <v>228</v>
      </c>
      <c r="FF22" s="76">
        <f t="shared" ref="FF22:FF27" si="94">1-FC22</f>
        <v>0.5</v>
      </c>
      <c r="FG22" s="78"/>
      <c r="FI22" s="75" t="s">
        <v>227</v>
      </c>
      <c r="FJ22" s="76">
        <f>IF(FJ18 = 0, 0.5, FJ11/FJ18)</f>
        <v>0.5</v>
      </c>
      <c r="FK22" s="77"/>
      <c r="FL22" s="64" t="s">
        <v>228</v>
      </c>
      <c r="FM22" s="76">
        <f t="shared" ref="FM22:FM27" si="95">1-FJ22</f>
        <v>0.5</v>
      </c>
      <c r="FN22" s="78"/>
      <c r="FP22" s="75" t="s">
        <v>227</v>
      </c>
      <c r="FQ22" s="76">
        <f>IF(FQ18 = 0, 0.5, FQ11/FQ18)</f>
        <v>0.5</v>
      </c>
      <c r="FR22" s="77"/>
      <c r="FS22" s="64" t="s">
        <v>228</v>
      </c>
      <c r="FT22" s="76">
        <f t="shared" ref="FT22:FT27" si="96">1-FQ22</f>
        <v>0.5</v>
      </c>
      <c r="FU22" s="78"/>
      <c r="FW22" s="75" t="s">
        <v>227</v>
      </c>
      <c r="FX22" s="76">
        <f>IF(FX18 = 0, 0.5, FX11/FX18)</f>
        <v>0.5</v>
      </c>
      <c r="FY22" s="77"/>
      <c r="FZ22" s="64" t="s">
        <v>228</v>
      </c>
      <c r="GA22" s="76">
        <f t="shared" ref="GA22:GA27" si="97">1-FX22</f>
        <v>0.5</v>
      </c>
      <c r="GB22" s="78"/>
      <c r="GD22" s="75" t="s">
        <v>227</v>
      </c>
      <c r="GE22" s="76">
        <f>IF(GE18 = 0, 0.5, GE11/GE18)</f>
        <v>0.5</v>
      </c>
      <c r="GF22" s="77"/>
      <c r="GG22" s="64" t="s">
        <v>228</v>
      </c>
      <c r="GH22" s="76">
        <f t="shared" ref="GH22:GH27" si="98">1-GE22</f>
        <v>0.5</v>
      </c>
      <c r="GI22" s="78"/>
      <c r="GK22" s="75" t="s">
        <v>227</v>
      </c>
      <c r="GL22" s="76">
        <f>IF(GL18 = 0, 0.5, GL11/GL18)</f>
        <v>0.5</v>
      </c>
      <c r="GM22" s="77"/>
      <c r="GN22" s="64" t="s">
        <v>228</v>
      </c>
      <c r="GO22" s="76">
        <f t="shared" ref="GO22:GO27" si="99">1-GL22</f>
        <v>0.5</v>
      </c>
      <c r="GP22" s="78"/>
      <c r="GR22" s="75" t="s">
        <v>227</v>
      </c>
      <c r="GS22" s="76">
        <f>IF(GS18 = 0, 0.5, GS11/GS18)</f>
        <v>0.5</v>
      </c>
      <c r="GT22" s="77"/>
      <c r="GU22" s="64" t="s">
        <v>228</v>
      </c>
      <c r="GV22" s="76">
        <f t="shared" ref="GV22:GV27" si="100">1-GS22</f>
        <v>0.5</v>
      </c>
      <c r="GW22" s="78"/>
      <c r="GY22" s="75" t="s">
        <v>227</v>
      </c>
      <c r="GZ22" s="76">
        <f>IF(GZ18 = 0, 0.5, GZ11/GZ18)</f>
        <v>0.5</v>
      </c>
      <c r="HA22" s="77"/>
      <c r="HB22" s="64" t="s">
        <v>228</v>
      </c>
      <c r="HC22" s="76">
        <f t="shared" ref="HC22:HC27" si="101">1-GZ22</f>
        <v>0.5</v>
      </c>
      <c r="HD22" s="78"/>
      <c r="HF22" s="75" t="s">
        <v>227</v>
      </c>
      <c r="HG22" s="76">
        <f>IF(HG18 = 0, 0.5, HG11/HG18)</f>
        <v>0.5</v>
      </c>
      <c r="HH22" s="77"/>
      <c r="HI22" s="64" t="s">
        <v>228</v>
      </c>
      <c r="HJ22" s="76">
        <f t="shared" ref="HJ22:HJ27" si="102">1-HG22</f>
        <v>0.5</v>
      </c>
      <c r="HK22" s="78"/>
      <c r="HM22" s="75" t="s">
        <v>227</v>
      </c>
      <c r="HN22" s="76">
        <f>IF(HN18 = 0, 0.5, HN11/HN18)</f>
        <v>0.5</v>
      </c>
      <c r="HO22" s="77"/>
      <c r="HP22" s="64" t="s">
        <v>228</v>
      </c>
      <c r="HQ22" s="76">
        <f t="shared" ref="HQ22:HQ27" si="103">1-HN22</f>
        <v>0.5</v>
      </c>
      <c r="HR22" s="78"/>
      <c r="HT22" s="75" t="s">
        <v>227</v>
      </c>
      <c r="HU22" s="76">
        <f>IF(HU18 = 0, 0.5, HU11/HU18)</f>
        <v>0.5</v>
      </c>
      <c r="HV22" s="77"/>
      <c r="HW22" s="64" t="s">
        <v>228</v>
      </c>
      <c r="HX22" s="76">
        <f t="shared" ref="HX22:HX27" si="104">1-HU22</f>
        <v>0.5</v>
      </c>
      <c r="HY22" s="78"/>
      <c r="IA22" s="75" t="s">
        <v>227</v>
      </c>
      <c r="IB22" s="76">
        <f>IF(IB18 = 0, 0.5, IB11/IB18)</f>
        <v>0.5</v>
      </c>
      <c r="IC22" s="77"/>
      <c r="ID22" s="64" t="s">
        <v>228</v>
      </c>
      <c r="IE22" s="76">
        <f t="shared" ref="IE22:IE27" si="105">1-IB22</f>
        <v>0.5</v>
      </c>
      <c r="IF22" s="78"/>
      <c r="IH22" s="75" t="s">
        <v>227</v>
      </c>
      <c r="II22" s="76">
        <f>IF(II18 = 0, 0.5, II11/II18)</f>
        <v>0.5</v>
      </c>
      <c r="IJ22" s="77"/>
      <c r="IK22" s="64" t="s">
        <v>228</v>
      </c>
      <c r="IL22" s="76">
        <f t="shared" ref="IL22:IL27" si="106">1-II22</f>
        <v>0.5</v>
      </c>
      <c r="IM22" s="78"/>
      <c r="IO22" s="75" t="s">
        <v>227</v>
      </c>
      <c r="IP22" s="76">
        <f>IF(IP18 = 0, 0.5, IP11/IP18)</f>
        <v>0.5</v>
      </c>
      <c r="IQ22" s="77"/>
      <c r="IR22" s="64" t="s">
        <v>228</v>
      </c>
      <c r="IS22" s="76">
        <f t="shared" ref="IS22:IS27" si="107">1-IP22</f>
        <v>0.5</v>
      </c>
      <c r="IT22" s="78"/>
    </row>
    <row r="23" spans="4:254" x14ac:dyDescent="0.2">
      <c r="D23" s="79" t="s">
        <v>229</v>
      </c>
      <c r="E23" s="80">
        <f>IF(E19 = 0, 0.5, E12/E19)</f>
        <v>0.33333333333333331</v>
      </c>
      <c r="F23" s="81"/>
      <c r="G23" s="82" t="s">
        <v>230</v>
      </c>
      <c r="H23" s="80">
        <f t="shared" si="72"/>
        <v>0.66666666666666674</v>
      </c>
      <c r="I23" s="83"/>
      <c r="K23" s="79" t="s">
        <v>229</v>
      </c>
      <c r="L23" s="80">
        <f>IF(L19 = 0, 0.5, L12/L19)</f>
        <v>0.4</v>
      </c>
      <c r="M23" s="81"/>
      <c r="N23" s="82" t="s">
        <v>230</v>
      </c>
      <c r="O23" s="80">
        <f t="shared" si="73"/>
        <v>0.6</v>
      </c>
      <c r="P23" s="83"/>
      <c r="R23" s="79" t="s">
        <v>229</v>
      </c>
      <c r="S23" s="80">
        <f>IF(S19 = 0, 0.5, S12/S19)</f>
        <v>0.5145631067961165</v>
      </c>
      <c r="T23" s="81"/>
      <c r="U23" s="82" t="s">
        <v>230</v>
      </c>
      <c r="V23" s="80">
        <f t="shared" si="74"/>
        <v>0.4854368932038835</v>
      </c>
      <c r="W23" s="83"/>
      <c r="Y23" s="79" t="s">
        <v>229</v>
      </c>
      <c r="Z23" s="80">
        <f>IF(Z19 = 0, 0.5, Z12/Z19)</f>
        <v>0.5</v>
      </c>
      <c r="AA23" s="81"/>
      <c r="AB23" s="82" t="s">
        <v>230</v>
      </c>
      <c r="AC23" s="80">
        <f t="shared" si="75"/>
        <v>0.5</v>
      </c>
      <c r="AD23" s="83"/>
      <c r="AF23" s="79" t="s">
        <v>229</v>
      </c>
      <c r="AG23" s="80">
        <f>IF(AG19 = 0, 0.5, AG12/AG19)</f>
        <v>0.33333333333333337</v>
      </c>
      <c r="AH23" s="81"/>
      <c r="AI23" s="82" t="s">
        <v>230</v>
      </c>
      <c r="AJ23" s="80">
        <f t="shared" si="76"/>
        <v>0.66666666666666663</v>
      </c>
      <c r="AK23" s="83"/>
      <c r="AM23" s="79" t="s">
        <v>229</v>
      </c>
      <c r="AN23" s="80">
        <f>IF(AN19 = 0, 0.5, AN12/AN19)</f>
        <v>0.4</v>
      </c>
      <c r="AO23" s="81"/>
      <c r="AP23" s="82" t="s">
        <v>230</v>
      </c>
      <c r="AQ23" s="80">
        <f t="shared" si="77"/>
        <v>0.6</v>
      </c>
      <c r="AR23" s="83"/>
      <c r="AT23" s="79" t="s">
        <v>229</v>
      </c>
      <c r="AU23" s="80">
        <f>IF(AU19 = 0, 0.5, AU12/AU19)</f>
        <v>0.51456310679611661</v>
      </c>
      <c r="AV23" s="81"/>
      <c r="AW23" s="82" t="s">
        <v>230</v>
      </c>
      <c r="AX23" s="80">
        <f t="shared" si="78"/>
        <v>0.48543689320388339</v>
      </c>
      <c r="AY23" s="83"/>
      <c r="BA23" s="79" t="s">
        <v>229</v>
      </c>
      <c r="BB23" s="80">
        <f>IF(BB19 = 0, 0.5, BB12/BB19)</f>
        <v>0.5</v>
      </c>
      <c r="BC23" s="81"/>
      <c r="BD23" s="82" t="s">
        <v>230</v>
      </c>
      <c r="BE23" s="80">
        <f t="shared" si="79"/>
        <v>0.5</v>
      </c>
      <c r="BF23" s="83"/>
      <c r="BH23" s="79" t="s">
        <v>229</v>
      </c>
      <c r="BI23" s="80">
        <f>IF(BI19 = 0, 0.5, BI12/BI19)</f>
        <v>0.33333333333333331</v>
      </c>
      <c r="BJ23" s="81"/>
      <c r="BK23" s="82" t="s">
        <v>230</v>
      </c>
      <c r="BL23" s="80">
        <f t="shared" si="80"/>
        <v>0.66666666666666674</v>
      </c>
      <c r="BM23" s="83"/>
      <c r="BO23" s="79" t="s">
        <v>229</v>
      </c>
      <c r="BP23" s="80">
        <f>IF(BP19 = 0, 0.5, BP12/BP19)</f>
        <v>0.39999999999999997</v>
      </c>
      <c r="BQ23" s="81"/>
      <c r="BR23" s="82" t="s">
        <v>230</v>
      </c>
      <c r="BS23" s="80">
        <f t="shared" si="81"/>
        <v>0.60000000000000009</v>
      </c>
      <c r="BT23" s="83"/>
      <c r="BV23" s="79" t="s">
        <v>229</v>
      </c>
      <c r="BW23" s="80">
        <f>IF(BW19 = 0, 0.5, BW12/BW19)</f>
        <v>0.5145631067961165</v>
      </c>
      <c r="BX23" s="81"/>
      <c r="BY23" s="82" t="s">
        <v>230</v>
      </c>
      <c r="BZ23" s="80">
        <f t="shared" si="82"/>
        <v>0.4854368932038835</v>
      </c>
      <c r="CA23" s="83"/>
      <c r="CC23" s="79" t="s">
        <v>229</v>
      </c>
      <c r="CD23" s="80">
        <f>IF(CD19 = 0, 0.5, CD12/CD19)</f>
        <v>0.5</v>
      </c>
      <c r="CE23" s="81"/>
      <c r="CF23" s="82" t="s">
        <v>230</v>
      </c>
      <c r="CG23" s="80">
        <f t="shared" si="83"/>
        <v>0.5</v>
      </c>
      <c r="CH23" s="83"/>
      <c r="CJ23" s="79" t="s">
        <v>229</v>
      </c>
      <c r="CK23" s="80">
        <f>IF(CK19 = 0, 0.5, CK12/CK19)</f>
        <v>0.5</v>
      </c>
      <c r="CL23" s="81"/>
      <c r="CM23" s="82" t="s">
        <v>230</v>
      </c>
      <c r="CN23" s="80">
        <f t="shared" si="84"/>
        <v>0.5</v>
      </c>
      <c r="CO23" s="83"/>
      <c r="CQ23" s="79" t="s">
        <v>229</v>
      </c>
      <c r="CR23" s="80">
        <f>IF(CR19 = 0, 0.5, CR12/CR19)</f>
        <v>0.5</v>
      </c>
      <c r="CS23" s="81"/>
      <c r="CT23" s="82" t="s">
        <v>230</v>
      </c>
      <c r="CU23" s="80">
        <f t="shared" si="85"/>
        <v>0.5</v>
      </c>
      <c r="CV23" s="83"/>
      <c r="CX23" s="79" t="s">
        <v>229</v>
      </c>
      <c r="CY23" s="80">
        <f>IF(CY19 = 0, 0.5, CY12/CY19)</f>
        <v>0.5</v>
      </c>
      <c r="CZ23" s="81"/>
      <c r="DA23" s="82" t="s">
        <v>230</v>
      </c>
      <c r="DB23" s="80">
        <f t="shared" si="86"/>
        <v>0.5</v>
      </c>
      <c r="DC23" s="83"/>
      <c r="DE23" s="79" t="s">
        <v>229</v>
      </c>
      <c r="DF23" s="80">
        <f>IF(DF19 = 0, 0.5, DF12/DF19)</f>
        <v>0.5</v>
      </c>
      <c r="DG23" s="81"/>
      <c r="DH23" s="82" t="s">
        <v>230</v>
      </c>
      <c r="DI23" s="80">
        <f t="shared" si="87"/>
        <v>0.5</v>
      </c>
      <c r="DJ23" s="83"/>
      <c r="DL23" s="79" t="s">
        <v>229</v>
      </c>
      <c r="DM23" s="80">
        <f>IF(DM19 = 0, 0.5, DM12/DM19)</f>
        <v>0.5</v>
      </c>
      <c r="DN23" s="81"/>
      <c r="DO23" s="82" t="s">
        <v>230</v>
      </c>
      <c r="DP23" s="80">
        <f t="shared" si="88"/>
        <v>0.5</v>
      </c>
      <c r="DQ23" s="83"/>
      <c r="DS23" s="79" t="s">
        <v>229</v>
      </c>
      <c r="DT23" s="80">
        <f>IF(DT19 = 0, 0.5, DT12/DT19)</f>
        <v>0.5</v>
      </c>
      <c r="DU23" s="81"/>
      <c r="DV23" s="82" t="s">
        <v>230</v>
      </c>
      <c r="DW23" s="80">
        <f t="shared" si="89"/>
        <v>0.5</v>
      </c>
      <c r="DX23" s="83"/>
      <c r="DZ23" s="79" t="s">
        <v>229</v>
      </c>
      <c r="EA23" s="80">
        <f>IF(EA19 = 0, 0.5, EA12/EA19)</f>
        <v>0.5</v>
      </c>
      <c r="EB23" s="81"/>
      <c r="EC23" s="82" t="s">
        <v>230</v>
      </c>
      <c r="ED23" s="80">
        <f t="shared" si="90"/>
        <v>0.5</v>
      </c>
      <c r="EE23" s="83"/>
      <c r="EG23" s="79" t="s">
        <v>229</v>
      </c>
      <c r="EH23" s="80">
        <f>IF(EH19 = 0, 0.5, EH12/EH19)</f>
        <v>0.5</v>
      </c>
      <c r="EI23" s="81"/>
      <c r="EJ23" s="82" t="s">
        <v>230</v>
      </c>
      <c r="EK23" s="80">
        <f t="shared" si="91"/>
        <v>0.5</v>
      </c>
      <c r="EL23" s="83"/>
      <c r="EN23" s="79" t="s">
        <v>229</v>
      </c>
      <c r="EO23" s="80">
        <f>IF(EO19 = 0, 0.5, EO12/EO19)</f>
        <v>0.5</v>
      </c>
      <c r="EP23" s="81"/>
      <c r="EQ23" s="82" t="s">
        <v>230</v>
      </c>
      <c r="ER23" s="80">
        <f t="shared" si="92"/>
        <v>0.5</v>
      </c>
      <c r="ES23" s="83"/>
      <c r="EU23" s="79" t="s">
        <v>229</v>
      </c>
      <c r="EV23" s="80">
        <f>IF(EV19 = 0, 0.5, EV12/EV19)</f>
        <v>0.5</v>
      </c>
      <c r="EW23" s="81"/>
      <c r="EX23" s="82" t="s">
        <v>230</v>
      </c>
      <c r="EY23" s="80">
        <f t="shared" si="93"/>
        <v>0.5</v>
      </c>
      <c r="EZ23" s="83"/>
      <c r="FB23" s="79" t="s">
        <v>229</v>
      </c>
      <c r="FC23" s="80">
        <f>IF(FC19 = 0, 0.5, FC12/FC19)</f>
        <v>0.5</v>
      </c>
      <c r="FD23" s="81"/>
      <c r="FE23" s="82" t="s">
        <v>230</v>
      </c>
      <c r="FF23" s="80">
        <f t="shared" si="94"/>
        <v>0.5</v>
      </c>
      <c r="FG23" s="83"/>
      <c r="FI23" s="79" t="s">
        <v>229</v>
      </c>
      <c r="FJ23" s="80">
        <f>IF(FJ19 = 0, 0.5, FJ12/FJ19)</f>
        <v>0.5</v>
      </c>
      <c r="FK23" s="81"/>
      <c r="FL23" s="82" t="s">
        <v>230</v>
      </c>
      <c r="FM23" s="80">
        <f t="shared" si="95"/>
        <v>0.5</v>
      </c>
      <c r="FN23" s="83"/>
      <c r="FP23" s="79" t="s">
        <v>229</v>
      </c>
      <c r="FQ23" s="80">
        <f>IF(FQ19 = 0, 0.5, FQ12/FQ19)</f>
        <v>0.5</v>
      </c>
      <c r="FR23" s="81"/>
      <c r="FS23" s="82" t="s">
        <v>230</v>
      </c>
      <c r="FT23" s="80">
        <f t="shared" si="96"/>
        <v>0.5</v>
      </c>
      <c r="FU23" s="83"/>
      <c r="FW23" s="79" t="s">
        <v>229</v>
      </c>
      <c r="FX23" s="80">
        <f>IF(FX19 = 0, 0.5, FX12/FX19)</f>
        <v>0.5</v>
      </c>
      <c r="FY23" s="81"/>
      <c r="FZ23" s="82" t="s">
        <v>230</v>
      </c>
      <c r="GA23" s="80">
        <f t="shared" si="97"/>
        <v>0.5</v>
      </c>
      <c r="GB23" s="83"/>
      <c r="GD23" s="79" t="s">
        <v>229</v>
      </c>
      <c r="GE23" s="80">
        <f>IF(GE19 = 0, 0.5, GE12/GE19)</f>
        <v>0.5</v>
      </c>
      <c r="GF23" s="81"/>
      <c r="GG23" s="82" t="s">
        <v>230</v>
      </c>
      <c r="GH23" s="80">
        <f t="shared" si="98"/>
        <v>0.5</v>
      </c>
      <c r="GI23" s="83"/>
      <c r="GK23" s="79" t="s">
        <v>229</v>
      </c>
      <c r="GL23" s="80">
        <f>IF(GL19 = 0, 0.5, GL12/GL19)</f>
        <v>0.5</v>
      </c>
      <c r="GM23" s="81"/>
      <c r="GN23" s="82" t="s">
        <v>230</v>
      </c>
      <c r="GO23" s="80">
        <f t="shared" si="99"/>
        <v>0.5</v>
      </c>
      <c r="GP23" s="83"/>
      <c r="GR23" s="79" t="s">
        <v>229</v>
      </c>
      <c r="GS23" s="80">
        <f>IF(GS19 = 0, 0.5, GS12/GS19)</f>
        <v>0.5</v>
      </c>
      <c r="GT23" s="81"/>
      <c r="GU23" s="82" t="s">
        <v>230</v>
      </c>
      <c r="GV23" s="80">
        <f t="shared" si="100"/>
        <v>0.5</v>
      </c>
      <c r="GW23" s="83"/>
      <c r="GY23" s="79" t="s">
        <v>229</v>
      </c>
      <c r="GZ23" s="80">
        <f>IF(GZ19 = 0, 0.5, GZ12/GZ19)</f>
        <v>0.5</v>
      </c>
      <c r="HA23" s="81"/>
      <c r="HB23" s="82" t="s">
        <v>230</v>
      </c>
      <c r="HC23" s="80">
        <f t="shared" si="101"/>
        <v>0.5</v>
      </c>
      <c r="HD23" s="83"/>
      <c r="HF23" s="79" t="s">
        <v>229</v>
      </c>
      <c r="HG23" s="80">
        <f>IF(HG19 = 0, 0.5, HG12/HG19)</f>
        <v>0.5</v>
      </c>
      <c r="HH23" s="81"/>
      <c r="HI23" s="82" t="s">
        <v>230</v>
      </c>
      <c r="HJ23" s="80">
        <f t="shared" si="102"/>
        <v>0.5</v>
      </c>
      <c r="HK23" s="83"/>
      <c r="HM23" s="79" t="s">
        <v>229</v>
      </c>
      <c r="HN23" s="80">
        <f>IF(HN19 = 0, 0.5, HN12/HN19)</f>
        <v>0.5</v>
      </c>
      <c r="HO23" s="81"/>
      <c r="HP23" s="82" t="s">
        <v>230</v>
      </c>
      <c r="HQ23" s="80">
        <f t="shared" si="103"/>
        <v>0.5</v>
      </c>
      <c r="HR23" s="83"/>
      <c r="HT23" s="79" t="s">
        <v>229</v>
      </c>
      <c r="HU23" s="80">
        <f>IF(HU19 = 0, 0.5, HU12/HU19)</f>
        <v>0.5</v>
      </c>
      <c r="HV23" s="81"/>
      <c r="HW23" s="82" t="s">
        <v>230</v>
      </c>
      <c r="HX23" s="80">
        <f t="shared" si="104"/>
        <v>0.5</v>
      </c>
      <c r="HY23" s="83"/>
      <c r="IA23" s="79" t="s">
        <v>229</v>
      </c>
      <c r="IB23" s="80">
        <f>IF(IB19 = 0, 0.5, IB12/IB19)</f>
        <v>0.5</v>
      </c>
      <c r="IC23" s="81"/>
      <c r="ID23" s="82" t="s">
        <v>230</v>
      </c>
      <c r="IE23" s="80">
        <f t="shared" si="105"/>
        <v>0.5</v>
      </c>
      <c r="IF23" s="83"/>
      <c r="IH23" s="79" t="s">
        <v>229</v>
      </c>
      <c r="II23" s="80">
        <f>IF(II19 = 0, 0.5, II12/II19)</f>
        <v>0.5</v>
      </c>
      <c r="IJ23" s="81"/>
      <c r="IK23" s="82" t="s">
        <v>230</v>
      </c>
      <c r="IL23" s="80">
        <f t="shared" si="106"/>
        <v>0.5</v>
      </c>
      <c r="IM23" s="83"/>
      <c r="IO23" s="79" t="s">
        <v>229</v>
      </c>
      <c r="IP23" s="80">
        <f>IF(IP19 = 0, 0.5, IP12/IP19)</f>
        <v>0.5</v>
      </c>
      <c r="IQ23" s="81"/>
      <c r="IR23" s="82" t="s">
        <v>230</v>
      </c>
      <c r="IS23" s="80">
        <f t="shared" si="107"/>
        <v>0.5</v>
      </c>
      <c r="IT23" s="83"/>
    </row>
    <row r="24" spans="4:254" x14ac:dyDescent="0.2">
      <c r="D24" s="27" t="s">
        <v>231</v>
      </c>
      <c r="E24" s="80">
        <f>IF(E20 = 0, 0.5, E13/E20)</f>
        <v>0.5</v>
      </c>
      <c r="F24" s="81"/>
      <c r="G24" s="62" t="s">
        <v>232</v>
      </c>
      <c r="H24" s="80">
        <f t="shared" si="72"/>
        <v>0.5</v>
      </c>
      <c r="I24" s="83"/>
      <c r="K24" s="27" t="s">
        <v>231</v>
      </c>
      <c r="L24" s="80">
        <f>IF(L20 = 0, 0.5, L13/L20)</f>
        <v>0.46153846153846156</v>
      </c>
      <c r="M24" s="81"/>
      <c r="N24" s="62" t="s">
        <v>232</v>
      </c>
      <c r="O24" s="80">
        <f t="shared" si="73"/>
        <v>0.53846153846153844</v>
      </c>
      <c r="P24" s="83"/>
      <c r="R24" s="27" t="s">
        <v>231</v>
      </c>
      <c r="S24" s="80">
        <f>IF(S20 = 0, 0.5, S13/S20)</f>
        <v>0.50526315789473686</v>
      </c>
      <c r="T24" s="81"/>
      <c r="U24" s="62" t="s">
        <v>232</v>
      </c>
      <c r="V24" s="80">
        <f t="shared" si="74"/>
        <v>0.49473684210526314</v>
      </c>
      <c r="W24" s="83"/>
      <c r="Y24" s="27" t="s">
        <v>231</v>
      </c>
      <c r="Z24" s="80">
        <f>IF(Z20 = 0, 0.5, Z13/Z20)</f>
        <v>0.6</v>
      </c>
      <c r="AA24" s="81"/>
      <c r="AB24" s="62" t="s">
        <v>232</v>
      </c>
      <c r="AC24" s="80">
        <f t="shared" si="75"/>
        <v>0.4</v>
      </c>
      <c r="AD24" s="83"/>
      <c r="AF24" s="27" t="s">
        <v>231</v>
      </c>
      <c r="AG24" s="80">
        <f>IF(AG20 = 0, 0.5, AG13/AG20)</f>
        <v>0.5</v>
      </c>
      <c r="AH24" s="81"/>
      <c r="AI24" s="62" t="s">
        <v>232</v>
      </c>
      <c r="AJ24" s="80">
        <f t="shared" si="76"/>
        <v>0.5</v>
      </c>
      <c r="AK24" s="83"/>
      <c r="AM24" s="27" t="s">
        <v>231</v>
      </c>
      <c r="AN24" s="80">
        <f>IF(AN20 = 0, 0.5, AN13/AN20)</f>
        <v>0.46153846153846156</v>
      </c>
      <c r="AO24" s="81"/>
      <c r="AP24" s="62" t="s">
        <v>232</v>
      </c>
      <c r="AQ24" s="80">
        <f t="shared" si="77"/>
        <v>0.53846153846153844</v>
      </c>
      <c r="AR24" s="83"/>
      <c r="AT24" s="27" t="s">
        <v>231</v>
      </c>
      <c r="AU24" s="80">
        <f>IF(AU20 = 0, 0.5, AU13/AU20)</f>
        <v>0.50526315789473686</v>
      </c>
      <c r="AV24" s="81"/>
      <c r="AW24" s="62" t="s">
        <v>232</v>
      </c>
      <c r="AX24" s="80">
        <f t="shared" si="78"/>
        <v>0.49473684210526314</v>
      </c>
      <c r="AY24" s="83"/>
      <c r="BA24" s="27" t="s">
        <v>231</v>
      </c>
      <c r="BB24" s="80">
        <f>IF(BB20 = 0, 0.5, BB13/BB20)</f>
        <v>0.60000000000000009</v>
      </c>
      <c r="BC24" s="81"/>
      <c r="BD24" s="62" t="s">
        <v>232</v>
      </c>
      <c r="BE24" s="80">
        <f t="shared" si="79"/>
        <v>0.39999999999999991</v>
      </c>
      <c r="BF24" s="83"/>
      <c r="BH24" s="27" t="s">
        <v>231</v>
      </c>
      <c r="BI24" s="80">
        <f>IF(BI20 = 0, 0.5, BI13/BI20)</f>
        <v>0.5</v>
      </c>
      <c r="BJ24" s="81"/>
      <c r="BK24" s="62" t="s">
        <v>232</v>
      </c>
      <c r="BL24" s="80">
        <f t="shared" si="80"/>
        <v>0.5</v>
      </c>
      <c r="BM24" s="83"/>
      <c r="BO24" s="27" t="s">
        <v>231</v>
      </c>
      <c r="BP24" s="80">
        <f>IF(BP20 = 0, 0.5, BP13/BP20)</f>
        <v>0.46153846153846145</v>
      </c>
      <c r="BQ24" s="81"/>
      <c r="BR24" s="62" t="s">
        <v>232</v>
      </c>
      <c r="BS24" s="80">
        <f t="shared" si="81"/>
        <v>0.53846153846153855</v>
      </c>
      <c r="BT24" s="83"/>
      <c r="BV24" s="27" t="s">
        <v>231</v>
      </c>
      <c r="BW24" s="80">
        <f>IF(BW20 = 0, 0.5, BW13/BW20)</f>
        <v>0.50526315789473686</v>
      </c>
      <c r="BX24" s="81"/>
      <c r="BY24" s="62" t="s">
        <v>232</v>
      </c>
      <c r="BZ24" s="80">
        <f t="shared" si="82"/>
        <v>0.49473684210526314</v>
      </c>
      <c r="CA24" s="83"/>
      <c r="CC24" s="27" t="s">
        <v>231</v>
      </c>
      <c r="CD24" s="80">
        <f>IF(CD20 = 0, 0.5, CD13/CD20)</f>
        <v>0.6</v>
      </c>
      <c r="CE24" s="81"/>
      <c r="CF24" s="62" t="s">
        <v>232</v>
      </c>
      <c r="CG24" s="80">
        <f t="shared" si="83"/>
        <v>0.4</v>
      </c>
      <c r="CH24" s="83"/>
      <c r="CJ24" s="27" t="s">
        <v>231</v>
      </c>
      <c r="CK24" s="80">
        <f>IF(CK20 = 0, 0.5, CK13/CK20)</f>
        <v>0.5</v>
      </c>
      <c r="CL24" s="81"/>
      <c r="CM24" s="62" t="s">
        <v>232</v>
      </c>
      <c r="CN24" s="80">
        <f t="shared" si="84"/>
        <v>0.5</v>
      </c>
      <c r="CO24" s="83"/>
      <c r="CQ24" s="27" t="s">
        <v>231</v>
      </c>
      <c r="CR24" s="80">
        <f>IF(CR20 = 0, 0.5, CR13/CR20)</f>
        <v>0.5</v>
      </c>
      <c r="CS24" s="81"/>
      <c r="CT24" s="62" t="s">
        <v>232</v>
      </c>
      <c r="CU24" s="80">
        <f t="shared" si="85"/>
        <v>0.5</v>
      </c>
      <c r="CV24" s="83"/>
      <c r="CX24" s="27" t="s">
        <v>231</v>
      </c>
      <c r="CY24" s="80">
        <f>IF(CY20 = 0, 0.5, CY13/CY20)</f>
        <v>0.5</v>
      </c>
      <c r="CZ24" s="81"/>
      <c r="DA24" s="62" t="s">
        <v>232</v>
      </c>
      <c r="DB24" s="80">
        <f t="shared" si="86"/>
        <v>0.5</v>
      </c>
      <c r="DC24" s="83"/>
      <c r="DE24" s="27" t="s">
        <v>231</v>
      </c>
      <c r="DF24" s="80">
        <f>IF(DF20 = 0, 0.5, DF13/DF20)</f>
        <v>0.5</v>
      </c>
      <c r="DG24" s="81"/>
      <c r="DH24" s="62" t="s">
        <v>232</v>
      </c>
      <c r="DI24" s="80">
        <f t="shared" si="87"/>
        <v>0.5</v>
      </c>
      <c r="DJ24" s="83"/>
      <c r="DL24" s="27" t="s">
        <v>231</v>
      </c>
      <c r="DM24" s="80">
        <f>IF(DM20 = 0, 0.5, DM13/DM20)</f>
        <v>0.5</v>
      </c>
      <c r="DN24" s="81"/>
      <c r="DO24" s="62" t="s">
        <v>232</v>
      </c>
      <c r="DP24" s="80">
        <f t="shared" si="88"/>
        <v>0.5</v>
      </c>
      <c r="DQ24" s="83"/>
      <c r="DS24" s="27" t="s">
        <v>231</v>
      </c>
      <c r="DT24" s="80">
        <f>IF(DT20 = 0, 0.5, DT13/DT20)</f>
        <v>0.5</v>
      </c>
      <c r="DU24" s="81"/>
      <c r="DV24" s="62" t="s">
        <v>232</v>
      </c>
      <c r="DW24" s="80">
        <f t="shared" si="89"/>
        <v>0.5</v>
      </c>
      <c r="DX24" s="83"/>
      <c r="DZ24" s="27" t="s">
        <v>231</v>
      </c>
      <c r="EA24" s="80">
        <f>IF(EA20 = 0, 0.5, EA13/EA20)</f>
        <v>0.5</v>
      </c>
      <c r="EB24" s="81"/>
      <c r="EC24" s="62" t="s">
        <v>232</v>
      </c>
      <c r="ED24" s="80">
        <f t="shared" si="90"/>
        <v>0.5</v>
      </c>
      <c r="EE24" s="83"/>
      <c r="EG24" s="27" t="s">
        <v>231</v>
      </c>
      <c r="EH24" s="80">
        <f>IF(EH20 = 0, 0.5, EH13/EH20)</f>
        <v>0.5</v>
      </c>
      <c r="EI24" s="81"/>
      <c r="EJ24" s="62" t="s">
        <v>232</v>
      </c>
      <c r="EK24" s="80">
        <f t="shared" si="91"/>
        <v>0.5</v>
      </c>
      <c r="EL24" s="83"/>
      <c r="EN24" s="27" t="s">
        <v>231</v>
      </c>
      <c r="EO24" s="80">
        <f>IF(EO20 = 0, 0.5, EO13/EO20)</f>
        <v>0.5</v>
      </c>
      <c r="EP24" s="81"/>
      <c r="EQ24" s="62" t="s">
        <v>232</v>
      </c>
      <c r="ER24" s="80">
        <f t="shared" si="92"/>
        <v>0.5</v>
      </c>
      <c r="ES24" s="83"/>
      <c r="EU24" s="27" t="s">
        <v>231</v>
      </c>
      <c r="EV24" s="80">
        <f>IF(EV20 = 0, 0.5, EV13/EV20)</f>
        <v>0.5</v>
      </c>
      <c r="EW24" s="81"/>
      <c r="EX24" s="62" t="s">
        <v>232</v>
      </c>
      <c r="EY24" s="80">
        <f t="shared" si="93"/>
        <v>0.5</v>
      </c>
      <c r="EZ24" s="83"/>
      <c r="FB24" s="27" t="s">
        <v>231</v>
      </c>
      <c r="FC24" s="80">
        <f>IF(FC20 = 0, 0.5, FC13/FC20)</f>
        <v>0.5</v>
      </c>
      <c r="FD24" s="81"/>
      <c r="FE24" s="62" t="s">
        <v>232</v>
      </c>
      <c r="FF24" s="80">
        <f t="shared" si="94"/>
        <v>0.5</v>
      </c>
      <c r="FG24" s="83"/>
      <c r="FI24" s="27" t="s">
        <v>231</v>
      </c>
      <c r="FJ24" s="80">
        <f>IF(FJ20 = 0, 0.5, FJ13/FJ20)</f>
        <v>0.5</v>
      </c>
      <c r="FK24" s="81"/>
      <c r="FL24" s="62" t="s">
        <v>232</v>
      </c>
      <c r="FM24" s="80">
        <f t="shared" si="95"/>
        <v>0.5</v>
      </c>
      <c r="FN24" s="83"/>
      <c r="FP24" s="27" t="s">
        <v>231</v>
      </c>
      <c r="FQ24" s="80">
        <f>IF(FQ20 = 0, 0.5, FQ13/FQ20)</f>
        <v>0.5</v>
      </c>
      <c r="FR24" s="81"/>
      <c r="FS24" s="62" t="s">
        <v>232</v>
      </c>
      <c r="FT24" s="80">
        <f t="shared" si="96"/>
        <v>0.5</v>
      </c>
      <c r="FU24" s="83"/>
      <c r="FW24" s="27" t="s">
        <v>231</v>
      </c>
      <c r="FX24" s="80">
        <f>IF(FX20 = 0, 0.5, FX13/FX20)</f>
        <v>0.5</v>
      </c>
      <c r="FY24" s="81"/>
      <c r="FZ24" s="62" t="s">
        <v>232</v>
      </c>
      <c r="GA24" s="80">
        <f t="shared" si="97"/>
        <v>0.5</v>
      </c>
      <c r="GB24" s="83"/>
      <c r="GD24" s="27" t="s">
        <v>231</v>
      </c>
      <c r="GE24" s="80">
        <f>IF(GE20 = 0, 0.5, GE13/GE20)</f>
        <v>0.5</v>
      </c>
      <c r="GF24" s="81"/>
      <c r="GG24" s="62" t="s">
        <v>232</v>
      </c>
      <c r="GH24" s="80">
        <f t="shared" si="98"/>
        <v>0.5</v>
      </c>
      <c r="GI24" s="83"/>
      <c r="GK24" s="27" t="s">
        <v>231</v>
      </c>
      <c r="GL24" s="80">
        <f>IF(GL20 = 0, 0.5, GL13/GL20)</f>
        <v>0.5</v>
      </c>
      <c r="GM24" s="81"/>
      <c r="GN24" s="62" t="s">
        <v>232</v>
      </c>
      <c r="GO24" s="80">
        <f t="shared" si="99"/>
        <v>0.5</v>
      </c>
      <c r="GP24" s="83"/>
      <c r="GR24" s="27" t="s">
        <v>231</v>
      </c>
      <c r="GS24" s="80">
        <f>IF(GS20 = 0, 0.5, GS13/GS20)</f>
        <v>0.5</v>
      </c>
      <c r="GT24" s="81"/>
      <c r="GU24" s="62" t="s">
        <v>232</v>
      </c>
      <c r="GV24" s="80">
        <f t="shared" si="100"/>
        <v>0.5</v>
      </c>
      <c r="GW24" s="83"/>
      <c r="GY24" s="27" t="s">
        <v>231</v>
      </c>
      <c r="GZ24" s="80">
        <f>IF(GZ20 = 0, 0.5, GZ13/GZ20)</f>
        <v>0.5</v>
      </c>
      <c r="HA24" s="81"/>
      <c r="HB24" s="62" t="s">
        <v>232</v>
      </c>
      <c r="HC24" s="80">
        <f t="shared" si="101"/>
        <v>0.5</v>
      </c>
      <c r="HD24" s="83"/>
      <c r="HF24" s="27" t="s">
        <v>231</v>
      </c>
      <c r="HG24" s="80">
        <f>IF(HG20 = 0, 0.5, HG13/HG20)</f>
        <v>0.5</v>
      </c>
      <c r="HH24" s="81"/>
      <c r="HI24" s="62" t="s">
        <v>232</v>
      </c>
      <c r="HJ24" s="80">
        <f t="shared" si="102"/>
        <v>0.5</v>
      </c>
      <c r="HK24" s="83"/>
      <c r="HM24" s="27" t="s">
        <v>231</v>
      </c>
      <c r="HN24" s="80">
        <f>IF(HN20 = 0, 0.5, HN13/HN20)</f>
        <v>0.5</v>
      </c>
      <c r="HO24" s="81"/>
      <c r="HP24" s="62" t="s">
        <v>232</v>
      </c>
      <c r="HQ24" s="80">
        <f t="shared" si="103"/>
        <v>0.5</v>
      </c>
      <c r="HR24" s="83"/>
      <c r="HT24" s="27" t="s">
        <v>231</v>
      </c>
      <c r="HU24" s="80">
        <f>IF(HU20 = 0, 0.5, HU13/HU20)</f>
        <v>0.5</v>
      </c>
      <c r="HV24" s="81"/>
      <c r="HW24" s="62" t="s">
        <v>232</v>
      </c>
      <c r="HX24" s="80">
        <f t="shared" si="104"/>
        <v>0.5</v>
      </c>
      <c r="HY24" s="83"/>
      <c r="IA24" s="27" t="s">
        <v>231</v>
      </c>
      <c r="IB24" s="80">
        <f>IF(IB20 = 0, 0.5, IB13/IB20)</f>
        <v>0.5</v>
      </c>
      <c r="IC24" s="81"/>
      <c r="ID24" s="62" t="s">
        <v>232</v>
      </c>
      <c r="IE24" s="80">
        <f t="shared" si="105"/>
        <v>0.5</v>
      </c>
      <c r="IF24" s="83"/>
      <c r="IH24" s="27" t="s">
        <v>231</v>
      </c>
      <c r="II24" s="80">
        <f>IF(II20 = 0, 0.5, II13/II20)</f>
        <v>0.5</v>
      </c>
      <c r="IJ24" s="81"/>
      <c r="IK24" s="62" t="s">
        <v>232</v>
      </c>
      <c r="IL24" s="80">
        <f t="shared" si="106"/>
        <v>0.5</v>
      </c>
      <c r="IM24" s="83"/>
      <c r="IO24" s="27" t="s">
        <v>231</v>
      </c>
      <c r="IP24" s="80">
        <f>IF(IP20 = 0, 0.5, IP13/IP20)</f>
        <v>0.5</v>
      </c>
      <c r="IQ24" s="81"/>
      <c r="IR24" s="62" t="s">
        <v>232</v>
      </c>
      <c r="IS24" s="80">
        <f t="shared" si="107"/>
        <v>0.5</v>
      </c>
      <c r="IT24" s="83"/>
    </row>
    <row r="25" spans="4:254" x14ac:dyDescent="0.2">
      <c r="D25" s="27" t="s">
        <v>233</v>
      </c>
      <c r="E25" s="80">
        <f>IF(H18 = 0, 0.5, E14/H18)</f>
        <v>0.33333333333333331</v>
      </c>
      <c r="F25" s="81"/>
      <c r="G25" s="27" t="s">
        <v>234</v>
      </c>
      <c r="H25" s="80">
        <f t="shared" si="72"/>
        <v>0.66666666666666674</v>
      </c>
      <c r="I25" s="83"/>
      <c r="K25" s="27" t="s">
        <v>233</v>
      </c>
      <c r="L25" s="80">
        <f>IF(O18 = 0, 0.5, L14/O18)</f>
        <v>0.5714285714285714</v>
      </c>
      <c r="M25" s="81"/>
      <c r="N25" s="27" t="s">
        <v>234</v>
      </c>
      <c r="O25" s="80">
        <f t="shared" si="73"/>
        <v>0.4285714285714286</v>
      </c>
      <c r="P25" s="83"/>
      <c r="R25" s="27" t="s">
        <v>233</v>
      </c>
      <c r="S25" s="80">
        <f>IF(V18 = 0, 0.5, S14/V18)</f>
        <v>0.42105263157894735</v>
      </c>
      <c r="T25" s="81"/>
      <c r="U25" s="27" t="s">
        <v>234</v>
      </c>
      <c r="V25" s="80">
        <f t="shared" si="74"/>
        <v>0.57894736842105265</v>
      </c>
      <c r="W25" s="83"/>
      <c r="Y25" s="27" t="s">
        <v>233</v>
      </c>
      <c r="Z25" s="80">
        <f>IF(AC18 = 0, 0.5, Z14/AC18)</f>
        <v>0.53571428571428581</v>
      </c>
      <c r="AA25" s="81"/>
      <c r="AB25" s="27" t="s">
        <v>234</v>
      </c>
      <c r="AC25" s="80">
        <f t="shared" si="75"/>
        <v>0.46428571428571419</v>
      </c>
      <c r="AD25" s="83"/>
      <c r="AF25" s="27" t="s">
        <v>233</v>
      </c>
      <c r="AG25" s="80">
        <f>IF(AJ18 = 0, 0.5, AG14/AJ18)</f>
        <v>0.33333333333333331</v>
      </c>
      <c r="AH25" s="81"/>
      <c r="AI25" s="27" t="s">
        <v>234</v>
      </c>
      <c r="AJ25" s="80">
        <f t="shared" si="76"/>
        <v>0.66666666666666674</v>
      </c>
      <c r="AK25" s="83"/>
      <c r="AM25" s="27" t="s">
        <v>233</v>
      </c>
      <c r="AN25" s="80">
        <f>IF(AQ18 = 0, 0.5, AN14/AQ18)</f>
        <v>0.5714285714285714</v>
      </c>
      <c r="AO25" s="81"/>
      <c r="AP25" s="27" t="s">
        <v>234</v>
      </c>
      <c r="AQ25" s="80">
        <f t="shared" si="77"/>
        <v>0.4285714285714286</v>
      </c>
      <c r="AR25" s="83"/>
      <c r="AT25" s="27" t="s">
        <v>233</v>
      </c>
      <c r="AU25" s="80">
        <f>IF(AX18 = 0, 0.5, AU14/AX18)</f>
        <v>0.4210526315789474</v>
      </c>
      <c r="AV25" s="81"/>
      <c r="AW25" s="27" t="s">
        <v>234</v>
      </c>
      <c r="AX25" s="80">
        <f t="shared" si="78"/>
        <v>0.57894736842105265</v>
      </c>
      <c r="AY25" s="83"/>
      <c r="BA25" s="27" t="s">
        <v>233</v>
      </c>
      <c r="BB25" s="80">
        <f>IF(BE18 = 0, 0.5, BB14/BE18)</f>
        <v>0.5357142857142857</v>
      </c>
      <c r="BC25" s="81"/>
      <c r="BD25" s="27" t="s">
        <v>234</v>
      </c>
      <c r="BE25" s="80">
        <f t="shared" si="79"/>
        <v>0.4642857142857143</v>
      </c>
      <c r="BF25" s="83"/>
      <c r="BH25" s="27" t="s">
        <v>233</v>
      </c>
      <c r="BI25" s="80">
        <f>IF(BL18 = 0, 0.5, BI14/BL18)</f>
        <v>0.33333333333333337</v>
      </c>
      <c r="BJ25" s="81"/>
      <c r="BK25" s="27" t="s">
        <v>234</v>
      </c>
      <c r="BL25" s="80">
        <f t="shared" si="80"/>
        <v>0.66666666666666663</v>
      </c>
      <c r="BM25" s="83"/>
      <c r="BO25" s="27" t="s">
        <v>233</v>
      </c>
      <c r="BP25" s="80">
        <f>IF(BS18 = 0, 0.5, BP14/BS18)</f>
        <v>0.57142857142857151</v>
      </c>
      <c r="BQ25" s="81"/>
      <c r="BR25" s="27" t="s">
        <v>234</v>
      </c>
      <c r="BS25" s="80">
        <f t="shared" si="81"/>
        <v>0.42857142857142849</v>
      </c>
      <c r="BT25" s="83"/>
      <c r="BV25" s="27" t="s">
        <v>233</v>
      </c>
      <c r="BW25" s="80">
        <f>IF(BZ18 = 0, 0.5, BW14/BZ18)</f>
        <v>0.42105263157894735</v>
      </c>
      <c r="BX25" s="81"/>
      <c r="BY25" s="27" t="s">
        <v>234</v>
      </c>
      <c r="BZ25" s="80">
        <f t="shared" si="82"/>
        <v>0.57894736842105265</v>
      </c>
      <c r="CA25" s="83"/>
      <c r="CC25" s="27" t="s">
        <v>233</v>
      </c>
      <c r="CD25" s="80">
        <f>IF(CG18 = 0, 0.5, CD14/CG18)</f>
        <v>0.53571428571428581</v>
      </c>
      <c r="CE25" s="81"/>
      <c r="CF25" s="27" t="s">
        <v>234</v>
      </c>
      <c r="CG25" s="80">
        <f t="shared" si="83"/>
        <v>0.46428571428571419</v>
      </c>
      <c r="CH25" s="83"/>
      <c r="CJ25" s="27" t="s">
        <v>233</v>
      </c>
      <c r="CK25" s="80">
        <f>IF(CN18 = 0, 0.5, CK14/CN18)</f>
        <v>0.5</v>
      </c>
      <c r="CL25" s="81"/>
      <c r="CM25" s="27" t="s">
        <v>234</v>
      </c>
      <c r="CN25" s="80">
        <f t="shared" si="84"/>
        <v>0.5</v>
      </c>
      <c r="CO25" s="83"/>
      <c r="CQ25" s="27" t="s">
        <v>233</v>
      </c>
      <c r="CR25" s="80">
        <f>IF(CU18 = 0, 0.5, CR14/CU18)</f>
        <v>0.5</v>
      </c>
      <c r="CS25" s="81"/>
      <c r="CT25" s="27" t="s">
        <v>234</v>
      </c>
      <c r="CU25" s="80">
        <f t="shared" si="85"/>
        <v>0.5</v>
      </c>
      <c r="CV25" s="83"/>
      <c r="CX25" s="27" t="s">
        <v>233</v>
      </c>
      <c r="CY25" s="80">
        <f>IF(DB18 = 0, 0.5, CY14/DB18)</f>
        <v>0.5</v>
      </c>
      <c r="CZ25" s="81"/>
      <c r="DA25" s="27" t="s">
        <v>234</v>
      </c>
      <c r="DB25" s="80">
        <f t="shared" si="86"/>
        <v>0.5</v>
      </c>
      <c r="DC25" s="83"/>
      <c r="DE25" s="27" t="s">
        <v>233</v>
      </c>
      <c r="DF25" s="80">
        <f>IF(DI18 = 0, 0.5, DF14/DI18)</f>
        <v>0.5</v>
      </c>
      <c r="DG25" s="81"/>
      <c r="DH25" s="27" t="s">
        <v>234</v>
      </c>
      <c r="DI25" s="80">
        <f t="shared" si="87"/>
        <v>0.5</v>
      </c>
      <c r="DJ25" s="83"/>
      <c r="DL25" s="27" t="s">
        <v>233</v>
      </c>
      <c r="DM25" s="80">
        <f>IF(DP18 = 0, 0.5, DM14/DP18)</f>
        <v>0.5</v>
      </c>
      <c r="DN25" s="81"/>
      <c r="DO25" s="27" t="s">
        <v>234</v>
      </c>
      <c r="DP25" s="80">
        <f t="shared" si="88"/>
        <v>0.5</v>
      </c>
      <c r="DQ25" s="83"/>
      <c r="DS25" s="27" t="s">
        <v>233</v>
      </c>
      <c r="DT25" s="80">
        <f>IF(DW18 = 0, 0.5, DT14/DW18)</f>
        <v>0.5</v>
      </c>
      <c r="DU25" s="81"/>
      <c r="DV25" s="27" t="s">
        <v>234</v>
      </c>
      <c r="DW25" s="80">
        <f t="shared" si="89"/>
        <v>0.5</v>
      </c>
      <c r="DX25" s="83"/>
      <c r="DZ25" s="27" t="s">
        <v>233</v>
      </c>
      <c r="EA25" s="80">
        <f>IF(ED18 = 0, 0.5, EA14/ED18)</f>
        <v>0.5</v>
      </c>
      <c r="EB25" s="81"/>
      <c r="EC25" s="27" t="s">
        <v>234</v>
      </c>
      <c r="ED25" s="80">
        <f t="shared" si="90"/>
        <v>0.5</v>
      </c>
      <c r="EE25" s="83"/>
      <c r="EG25" s="27" t="s">
        <v>233</v>
      </c>
      <c r="EH25" s="80">
        <f>IF(EK18 = 0, 0.5, EH14/EK18)</f>
        <v>0.5</v>
      </c>
      <c r="EI25" s="81"/>
      <c r="EJ25" s="27" t="s">
        <v>234</v>
      </c>
      <c r="EK25" s="80">
        <f t="shared" si="91"/>
        <v>0.5</v>
      </c>
      <c r="EL25" s="83"/>
      <c r="EN25" s="27" t="s">
        <v>233</v>
      </c>
      <c r="EO25" s="80">
        <f>IF(ER18 = 0, 0.5, EO14/ER18)</f>
        <v>0.5</v>
      </c>
      <c r="EP25" s="81"/>
      <c r="EQ25" s="27" t="s">
        <v>234</v>
      </c>
      <c r="ER25" s="80">
        <f t="shared" si="92"/>
        <v>0.5</v>
      </c>
      <c r="ES25" s="83"/>
      <c r="EU25" s="27" t="s">
        <v>233</v>
      </c>
      <c r="EV25" s="80">
        <f>IF(EY18 = 0, 0.5, EV14/EY18)</f>
        <v>0.5</v>
      </c>
      <c r="EW25" s="81"/>
      <c r="EX25" s="27" t="s">
        <v>234</v>
      </c>
      <c r="EY25" s="80">
        <f t="shared" si="93"/>
        <v>0.5</v>
      </c>
      <c r="EZ25" s="83"/>
      <c r="FB25" s="27" t="s">
        <v>233</v>
      </c>
      <c r="FC25" s="80">
        <f>IF(FF18 = 0, 0.5, FC14/FF18)</f>
        <v>0.5</v>
      </c>
      <c r="FD25" s="81"/>
      <c r="FE25" s="27" t="s">
        <v>234</v>
      </c>
      <c r="FF25" s="80">
        <f t="shared" si="94"/>
        <v>0.5</v>
      </c>
      <c r="FG25" s="83"/>
      <c r="FI25" s="27" t="s">
        <v>233</v>
      </c>
      <c r="FJ25" s="80">
        <f>IF(FM18 = 0, 0.5, FJ14/FM18)</f>
        <v>0.5</v>
      </c>
      <c r="FK25" s="81"/>
      <c r="FL25" s="27" t="s">
        <v>234</v>
      </c>
      <c r="FM25" s="80">
        <f t="shared" si="95"/>
        <v>0.5</v>
      </c>
      <c r="FN25" s="83"/>
      <c r="FP25" s="27" t="s">
        <v>233</v>
      </c>
      <c r="FQ25" s="80">
        <f>IF(FT18 = 0, 0.5, FQ14/FT18)</f>
        <v>0.5</v>
      </c>
      <c r="FR25" s="81"/>
      <c r="FS25" s="27" t="s">
        <v>234</v>
      </c>
      <c r="FT25" s="80">
        <f t="shared" si="96"/>
        <v>0.5</v>
      </c>
      <c r="FU25" s="83"/>
      <c r="FW25" s="27" t="s">
        <v>233</v>
      </c>
      <c r="FX25" s="80">
        <f>IF(GA18 = 0, 0.5, FX14/GA18)</f>
        <v>0.5</v>
      </c>
      <c r="FY25" s="81"/>
      <c r="FZ25" s="27" t="s">
        <v>234</v>
      </c>
      <c r="GA25" s="80">
        <f t="shared" si="97"/>
        <v>0.5</v>
      </c>
      <c r="GB25" s="83"/>
      <c r="GD25" s="27" t="s">
        <v>233</v>
      </c>
      <c r="GE25" s="80">
        <f>IF(GH18 = 0, 0.5, GE14/GH18)</f>
        <v>0.5</v>
      </c>
      <c r="GF25" s="81"/>
      <c r="GG25" s="27" t="s">
        <v>234</v>
      </c>
      <c r="GH25" s="80">
        <f t="shared" si="98"/>
        <v>0.5</v>
      </c>
      <c r="GI25" s="83"/>
      <c r="GK25" s="27" t="s">
        <v>233</v>
      </c>
      <c r="GL25" s="80">
        <f>IF(GO18 = 0, 0.5, GL14/GO18)</f>
        <v>0.5</v>
      </c>
      <c r="GM25" s="81"/>
      <c r="GN25" s="27" t="s">
        <v>234</v>
      </c>
      <c r="GO25" s="80">
        <f t="shared" si="99"/>
        <v>0.5</v>
      </c>
      <c r="GP25" s="83"/>
      <c r="GR25" s="27" t="s">
        <v>233</v>
      </c>
      <c r="GS25" s="80">
        <f>IF(GV18 = 0, 0.5, GS14/GV18)</f>
        <v>0.5</v>
      </c>
      <c r="GT25" s="81"/>
      <c r="GU25" s="27" t="s">
        <v>234</v>
      </c>
      <c r="GV25" s="80">
        <f t="shared" si="100"/>
        <v>0.5</v>
      </c>
      <c r="GW25" s="83"/>
      <c r="GY25" s="27" t="s">
        <v>233</v>
      </c>
      <c r="GZ25" s="80">
        <f>IF(HC18 = 0, 0.5, GZ14/HC18)</f>
        <v>0.5</v>
      </c>
      <c r="HA25" s="81"/>
      <c r="HB25" s="27" t="s">
        <v>234</v>
      </c>
      <c r="HC25" s="80">
        <f t="shared" si="101"/>
        <v>0.5</v>
      </c>
      <c r="HD25" s="83"/>
      <c r="HF25" s="27" t="s">
        <v>233</v>
      </c>
      <c r="HG25" s="80">
        <f>IF(HJ18 = 0, 0.5, HG14/HJ18)</f>
        <v>0.5</v>
      </c>
      <c r="HH25" s="81"/>
      <c r="HI25" s="27" t="s">
        <v>234</v>
      </c>
      <c r="HJ25" s="80">
        <f t="shared" si="102"/>
        <v>0.5</v>
      </c>
      <c r="HK25" s="83"/>
      <c r="HM25" s="27" t="s">
        <v>233</v>
      </c>
      <c r="HN25" s="80">
        <f>IF(HQ18 = 0, 0.5, HN14/HQ18)</f>
        <v>0.5</v>
      </c>
      <c r="HO25" s="81"/>
      <c r="HP25" s="27" t="s">
        <v>234</v>
      </c>
      <c r="HQ25" s="80">
        <f t="shared" si="103"/>
        <v>0.5</v>
      </c>
      <c r="HR25" s="83"/>
      <c r="HT25" s="27" t="s">
        <v>233</v>
      </c>
      <c r="HU25" s="80">
        <f>IF(HX18 = 0, 0.5, HU14/HX18)</f>
        <v>0.5</v>
      </c>
      <c r="HV25" s="81"/>
      <c r="HW25" s="27" t="s">
        <v>234</v>
      </c>
      <c r="HX25" s="80">
        <f t="shared" si="104"/>
        <v>0.5</v>
      </c>
      <c r="HY25" s="83"/>
      <c r="IA25" s="27" t="s">
        <v>233</v>
      </c>
      <c r="IB25" s="80">
        <f>IF(IE18 = 0, 0.5, IB14/IE18)</f>
        <v>0.5</v>
      </c>
      <c r="IC25" s="81"/>
      <c r="ID25" s="27" t="s">
        <v>234</v>
      </c>
      <c r="IE25" s="80">
        <f t="shared" si="105"/>
        <v>0.5</v>
      </c>
      <c r="IF25" s="83"/>
      <c r="IH25" s="27" t="s">
        <v>233</v>
      </c>
      <c r="II25" s="80">
        <f>IF(IL18 = 0, 0.5, II14/IL18)</f>
        <v>0.5</v>
      </c>
      <c r="IJ25" s="81"/>
      <c r="IK25" s="27" t="s">
        <v>234</v>
      </c>
      <c r="IL25" s="80">
        <f t="shared" si="106"/>
        <v>0.5</v>
      </c>
      <c r="IM25" s="83"/>
      <c r="IO25" s="27" t="s">
        <v>233</v>
      </c>
      <c r="IP25" s="80">
        <f>IF(IS18 = 0, 0.5, IP14/IS18)</f>
        <v>0.5</v>
      </c>
      <c r="IQ25" s="81"/>
      <c r="IR25" s="27" t="s">
        <v>234</v>
      </c>
      <c r="IS25" s="80">
        <f t="shared" si="107"/>
        <v>0.5</v>
      </c>
      <c r="IT25" s="83"/>
    </row>
    <row r="26" spans="4:254" x14ac:dyDescent="0.2">
      <c r="D26" s="27" t="s">
        <v>235</v>
      </c>
      <c r="E26" s="80">
        <f>IF(H19 = 0, 0.5, E15/H19)</f>
        <v>0.4</v>
      </c>
      <c r="F26" s="81"/>
      <c r="G26" s="27" t="s">
        <v>236</v>
      </c>
      <c r="H26" s="80">
        <f t="shared" si="72"/>
        <v>0.6</v>
      </c>
      <c r="I26" s="83"/>
      <c r="K26" s="27" t="s">
        <v>235</v>
      </c>
      <c r="L26" s="80">
        <f>IF(O19 = 0, 0.5, L15/O19)</f>
        <v>0.45454545454545453</v>
      </c>
      <c r="M26" s="81"/>
      <c r="N26" s="27" t="s">
        <v>236</v>
      </c>
      <c r="O26" s="80">
        <f t="shared" si="73"/>
        <v>0.54545454545454541</v>
      </c>
      <c r="P26" s="83"/>
      <c r="R26" s="27" t="s">
        <v>235</v>
      </c>
      <c r="S26" s="80">
        <f>IF(V19 = 0, 0.5, S15/V19)</f>
        <v>0.44791666666666669</v>
      </c>
      <c r="T26" s="81"/>
      <c r="U26" s="27" t="s">
        <v>236</v>
      </c>
      <c r="V26" s="80">
        <f t="shared" si="74"/>
        <v>0.55208333333333326</v>
      </c>
      <c r="W26" s="83"/>
      <c r="Y26" s="27" t="s">
        <v>235</v>
      </c>
      <c r="Z26" s="80">
        <f>IF(AC19 = 0, 0.5, Z15/AC19)</f>
        <v>0.51886792452830188</v>
      </c>
      <c r="AA26" s="81"/>
      <c r="AB26" s="27" t="s">
        <v>236</v>
      </c>
      <c r="AC26" s="80">
        <f t="shared" si="75"/>
        <v>0.48113207547169812</v>
      </c>
      <c r="AD26" s="83"/>
      <c r="AF26" s="27" t="s">
        <v>235</v>
      </c>
      <c r="AG26" s="80">
        <f>IF(AJ19 = 0, 0.5, AG15/AJ19)</f>
        <v>0.4</v>
      </c>
      <c r="AH26" s="81"/>
      <c r="AI26" s="27" t="s">
        <v>236</v>
      </c>
      <c r="AJ26" s="80">
        <f t="shared" si="76"/>
        <v>0.6</v>
      </c>
      <c r="AK26" s="83"/>
      <c r="AM26" s="27" t="s">
        <v>235</v>
      </c>
      <c r="AN26" s="80">
        <f>IF(AQ19 = 0, 0.5, AN15/AQ19)</f>
        <v>0.45454545454545447</v>
      </c>
      <c r="AO26" s="81"/>
      <c r="AP26" s="27" t="s">
        <v>236</v>
      </c>
      <c r="AQ26" s="80">
        <f t="shared" si="77"/>
        <v>0.54545454545454553</v>
      </c>
      <c r="AR26" s="83"/>
      <c r="AT26" s="27" t="s">
        <v>235</v>
      </c>
      <c r="AU26" s="80">
        <f>IF(AX19 = 0, 0.5, AU15/AX19)</f>
        <v>0.44791666666666663</v>
      </c>
      <c r="AV26" s="81"/>
      <c r="AW26" s="27" t="s">
        <v>236</v>
      </c>
      <c r="AX26" s="80">
        <f t="shared" si="78"/>
        <v>0.55208333333333337</v>
      </c>
      <c r="AY26" s="83"/>
      <c r="BA26" s="27" t="s">
        <v>235</v>
      </c>
      <c r="BB26" s="80">
        <f>IF(BE19 = 0, 0.5, BB15/BE19)</f>
        <v>0.51886792452830188</v>
      </c>
      <c r="BC26" s="81"/>
      <c r="BD26" s="27" t="s">
        <v>236</v>
      </c>
      <c r="BE26" s="80">
        <f t="shared" si="79"/>
        <v>0.48113207547169812</v>
      </c>
      <c r="BF26" s="83"/>
      <c r="BH26" s="27" t="s">
        <v>235</v>
      </c>
      <c r="BI26" s="80">
        <f>IF(BL19 = 0, 0.5, BI15/BL19)</f>
        <v>0.39999999999999997</v>
      </c>
      <c r="BJ26" s="81"/>
      <c r="BK26" s="27" t="s">
        <v>236</v>
      </c>
      <c r="BL26" s="80">
        <f t="shared" si="80"/>
        <v>0.60000000000000009</v>
      </c>
      <c r="BM26" s="83"/>
      <c r="BO26" s="27" t="s">
        <v>235</v>
      </c>
      <c r="BP26" s="80">
        <f>IF(BS19 = 0, 0.5, BP15/BS19)</f>
        <v>0.45454545454545459</v>
      </c>
      <c r="BQ26" s="81"/>
      <c r="BR26" s="27" t="s">
        <v>236</v>
      </c>
      <c r="BS26" s="80">
        <f t="shared" si="81"/>
        <v>0.54545454545454541</v>
      </c>
      <c r="BT26" s="83"/>
      <c r="BV26" s="27" t="s">
        <v>235</v>
      </c>
      <c r="BW26" s="80">
        <f>IF(BZ19 = 0, 0.5, BW15/BZ19)</f>
        <v>0.44791666666666669</v>
      </c>
      <c r="BX26" s="81"/>
      <c r="BY26" s="27" t="s">
        <v>236</v>
      </c>
      <c r="BZ26" s="80">
        <f t="shared" si="82"/>
        <v>0.55208333333333326</v>
      </c>
      <c r="CA26" s="83"/>
      <c r="CC26" s="27" t="s">
        <v>235</v>
      </c>
      <c r="CD26" s="80">
        <f>IF(CG19 = 0, 0.5, CD15/CG19)</f>
        <v>0.51886792452830188</v>
      </c>
      <c r="CE26" s="81"/>
      <c r="CF26" s="27" t="s">
        <v>236</v>
      </c>
      <c r="CG26" s="80">
        <f t="shared" si="83"/>
        <v>0.48113207547169812</v>
      </c>
      <c r="CH26" s="83"/>
      <c r="CJ26" s="27" t="s">
        <v>235</v>
      </c>
      <c r="CK26" s="80">
        <f>IF(CN19 = 0, 0.5, CK15/CN19)</f>
        <v>0.5</v>
      </c>
      <c r="CL26" s="81"/>
      <c r="CM26" s="27" t="s">
        <v>236</v>
      </c>
      <c r="CN26" s="80">
        <f t="shared" si="84"/>
        <v>0.5</v>
      </c>
      <c r="CO26" s="83"/>
      <c r="CQ26" s="27" t="s">
        <v>235</v>
      </c>
      <c r="CR26" s="80">
        <f>IF(CU19 = 0, 0.5, CR15/CU19)</f>
        <v>0.5</v>
      </c>
      <c r="CS26" s="81"/>
      <c r="CT26" s="27" t="s">
        <v>236</v>
      </c>
      <c r="CU26" s="80">
        <f t="shared" si="85"/>
        <v>0.5</v>
      </c>
      <c r="CV26" s="83"/>
      <c r="CX26" s="27" t="s">
        <v>235</v>
      </c>
      <c r="CY26" s="80">
        <f>IF(DB19 = 0, 0.5, CY15/DB19)</f>
        <v>0.5</v>
      </c>
      <c r="CZ26" s="81"/>
      <c r="DA26" s="27" t="s">
        <v>236</v>
      </c>
      <c r="DB26" s="80">
        <f t="shared" si="86"/>
        <v>0.5</v>
      </c>
      <c r="DC26" s="83"/>
      <c r="DE26" s="27" t="s">
        <v>235</v>
      </c>
      <c r="DF26" s="80">
        <f>IF(DI19 = 0, 0.5, DF15/DI19)</f>
        <v>0.5</v>
      </c>
      <c r="DG26" s="81"/>
      <c r="DH26" s="27" t="s">
        <v>236</v>
      </c>
      <c r="DI26" s="80">
        <f t="shared" si="87"/>
        <v>0.5</v>
      </c>
      <c r="DJ26" s="83"/>
      <c r="DL26" s="27" t="s">
        <v>235</v>
      </c>
      <c r="DM26" s="80">
        <f>IF(DP19 = 0, 0.5, DM15/DP19)</f>
        <v>0.5</v>
      </c>
      <c r="DN26" s="81"/>
      <c r="DO26" s="27" t="s">
        <v>236</v>
      </c>
      <c r="DP26" s="80">
        <f t="shared" si="88"/>
        <v>0.5</v>
      </c>
      <c r="DQ26" s="83"/>
      <c r="DS26" s="27" t="s">
        <v>235</v>
      </c>
      <c r="DT26" s="80">
        <f>IF(DW19 = 0, 0.5, DT15/DW19)</f>
        <v>0.5</v>
      </c>
      <c r="DU26" s="81"/>
      <c r="DV26" s="27" t="s">
        <v>236</v>
      </c>
      <c r="DW26" s="80">
        <f t="shared" si="89"/>
        <v>0.5</v>
      </c>
      <c r="DX26" s="83"/>
      <c r="DZ26" s="27" t="s">
        <v>235</v>
      </c>
      <c r="EA26" s="80">
        <f>IF(ED19 = 0, 0.5, EA15/ED19)</f>
        <v>0.5</v>
      </c>
      <c r="EB26" s="81"/>
      <c r="EC26" s="27" t="s">
        <v>236</v>
      </c>
      <c r="ED26" s="80">
        <f t="shared" si="90"/>
        <v>0.5</v>
      </c>
      <c r="EE26" s="83"/>
      <c r="EG26" s="27" t="s">
        <v>235</v>
      </c>
      <c r="EH26" s="80">
        <f>IF(EK19 = 0, 0.5, EH15/EK19)</f>
        <v>0.5</v>
      </c>
      <c r="EI26" s="81"/>
      <c r="EJ26" s="27" t="s">
        <v>236</v>
      </c>
      <c r="EK26" s="80">
        <f t="shared" si="91"/>
        <v>0.5</v>
      </c>
      <c r="EL26" s="83"/>
      <c r="EN26" s="27" t="s">
        <v>235</v>
      </c>
      <c r="EO26" s="80">
        <f>IF(ER19 = 0, 0.5, EO15/ER19)</f>
        <v>0.5</v>
      </c>
      <c r="EP26" s="81"/>
      <c r="EQ26" s="27" t="s">
        <v>236</v>
      </c>
      <c r="ER26" s="80">
        <f t="shared" si="92"/>
        <v>0.5</v>
      </c>
      <c r="ES26" s="83"/>
      <c r="EU26" s="27" t="s">
        <v>235</v>
      </c>
      <c r="EV26" s="80">
        <f>IF(EY19 = 0, 0.5, EV15/EY19)</f>
        <v>0.5</v>
      </c>
      <c r="EW26" s="81"/>
      <c r="EX26" s="27" t="s">
        <v>236</v>
      </c>
      <c r="EY26" s="80">
        <f t="shared" si="93"/>
        <v>0.5</v>
      </c>
      <c r="EZ26" s="83"/>
      <c r="FB26" s="27" t="s">
        <v>235</v>
      </c>
      <c r="FC26" s="80">
        <f>IF(FF19 = 0, 0.5, FC15/FF19)</f>
        <v>0.5</v>
      </c>
      <c r="FD26" s="81"/>
      <c r="FE26" s="27" t="s">
        <v>236</v>
      </c>
      <c r="FF26" s="80">
        <f t="shared" si="94"/>
        <v>0.5</v>
      </c>
      <c r="FG26" s="83"/>
      <c r="FI26" s="27" t="s">
        <v>235</v>
      </c>
      <c r="FJ26" s="80">
        <f>IF(FM19 = 0, 0.5, FJ15/FM19)</f>
        <v>0.5</v>
      </c>
      <c r="FK26" s="81"/>
      <c r="FL26" s="27" t="s">
        <v>236</v>
      </c>
      <c r="FM26" s="80">
        <f t="shared" si="95"/>
        <v>0.5</v>
      </c>
      <c r="FN26" s="83"/>
      <c r="FP26" s="27" t="s">
        <v>235</v>
      </c>
      <c r="FQ26" s="80">
        <f>IF(FT19 = 0, 0.5, FQ15/FT19)</f>
        <v>0.5</v>
      </c>
      <c r="FR26" s="81"/>
      <c r="FS26" s="27" t="s">
        <v>236</v>
      </c>
      <c r="FT26" s="80">
        <f t="shared" si="96"/>
        <v>0.5</v>
      </c>
      <c r="FU26" s="83"/>
      <c r="FW26" s="27" t="s">
        <v>235</v>
      </c>
      <c r="FX26" s="80">
        <f>IF(GA19 = 0, 0.5, FX15/GA19)</f>
        <v>0.5</v>
      </c>
      <c r="FY26" s="81"/>
      <c r="FZ26" s="27" t="s">
        <v>236</v>
      </c>
      <c r="GA26" s="80">
        <f t="shared" si="97"/>
        <v>0.5</v>
      </c>
      <c r="GB26" s="83"/>
      <c r="GD26" s="27" t="s">
        <v>235</v>
      </c>
      <c r="GE26" s="80">
        <f>IF(GH19 = 0, 0.5, GE15/GH19)</f>
        <v>0.5</v>
      </c>
      <c r="GF26" s="81"/>
      <c r="GG26" s="27" t="s">
        <v>236</v>
      </c>
      <c r="GH26" s="80">
        <f t="shared" si="98"/>
        <v>0.5</v>
      </c>
      <c r="GI26" s="83"/>
      <c r="GK26" s="27" t="s">
        <v>235</v>
      </c>
      <c r="GL26" s="80">
        <f>IF(GO19 = 0, 0.5, GL15/GO19)</f>
        <v>0.5</v>
      </c>
      <c r="GM26" s="81"/>
      <c r="GN26" s="27" t="s">
        <v>236</v>
      </c>
      <c r="GO26" s="80">
        <f t="shared" si="99"/>
        <v>0.5</v>
      </c>
      <c r="GP26" s="83"/>
      <c r="GR26" s="27" t="s">
        <v>235</v>
      </c>
      <c r="GS26" s="80">
        <f>IF(GV19 = 0, 0.5, GS15/GV19)</f>
        <v>0.5</v>
      </c>
      <c r="GT26" s="81"/>
      <c r="GU26" s="27" t="s">
        <v>236</v>
      </c>
      <c r="GV26" s="80">
        <f t="shared" si="100"/>
        <v>0.5</v>
      </c>
      <c r="GW26" s="83"/>
      <c r="GY26" s="27" t="s">
        <v>235</v>
      </c>
      <c r="GZ26" s="80">
        <f>IF(HC19 = 0, 0.5, GZ15/HC19)</f>
        <v>0.5</v>
      </c>
      <c r="HA26" s="81"/>
      <c r="HB26" s="27" t="s">
        <v>236</v>
      </c>
      <c r="HC26" s="80">
        <f t="shared" si="101"/>
        <v>0.5</v>
      </c>
      <c r="HD26" s="83"/>
      <c r="HF26" s="27" t="s">
        <v>235</v>
      </c>
      <c r="HG26" s="80">
        <f>IF(HJ19 = 0, 0.5, HG15/HJ19)</f>
        <v>0.5</v>
      </c>
      <c r="HH26" s="81"/>
      <c r="HI26" s="27" t="s">
        <v>236</v>
      </c>
      <c r="HJ26" s="80">
        <f t="shared" si="102"/>
        <v>0.5</v>
      </c>
      <c r="HK26" s="83"/>
      <c r="HM26" s="27" t="s">
        <v>235</v>
      </c>
      <c r="HN26" s="80">
        <f>IF(HQ19 = 0, 0.5, HN15/HQ19)</f>
        <v>0.5</v>
      </c>
      <c r="HO26" s="81"/>
      <c r="HP26" s="27" t="s">
        <v>236</v>
      </c>
      <c r="HQ26" s="80">
        <f t="shared" si="103"/>
        <v>0.5</v>
      </c>
      <c r="HR26" s="83"/>
      <c r="HT26" s="27" t="s">
        <v>235</v>
      </c>
      <c r="HU26" s="80">
        <f>IF(HX19 = 0, 0.5, HU15/HX19)</f>
        <v>0.5</v>
      </c>
      <c r="HV26" s="81"/>
      <c r="HW26" s="27" t="s">
        <v>236</v>
      </c>
      <c r="HX26" s="80">
        <f t="shared" si="104"/>
        <v>0.5</v>
      </c>
      <c r="HY26" s="83"/>
      <c r="IA26" s="27" t="s">
        <v>235</v>
      </c>
      <c r="IB26" s="80">
        <f>IF(IE19 = 0, 0.5, IB15/IE19)</f>
        <v>0.5</v>
      </c>
      <c r="IC26" s="81"/>
      <c r="ID26" s="27" t="s">
        <v>236</v>
      </c>
      <c r="IE26" s="80">
        <f t="shared" si="105"/>
        <v>0.5</v>
      </c>
      <c r="IF26" s="83"/>
      <c r="IH26" s="27" t="s">
        <v>235</v>
      </c>
      <c r="II26" s="80">
        <f>IF(IL19 = 0, 0.5, II15/IL19)</f>
        <v>0.5</v>
      </c>
      <c r="IJ26" s="81"/>
      <c r="IK26" s="27" t="s">
        <v>236</v>
      </c>
      <c r="IL26" s="80">
        <f t="shared" si="106"/>
        <v>0.5</v>
      </c>
      <c r="IM26" s="83"/>
      <c r="IO26" s="27" t="s">
        <v>235</v>
      </c>
      <c r="IP26" s="80">
        <f>IF(IS19 = 0, 0.5, IP15/IS19)</f>
        <v>0.5</v>
      </c>
      <c r="IQ26" s="81"/>
      <c r="IR26" s="27" t="s">
        <v>236</v>
      </c>
      <c r="IS26" s="80">
        <f t="shared" si="107"/>
        <v>0.5</v>
      </c>
      <c r="IT26" s="83"/>
    </row>
    <row r="27" spans="4:254" x14ac:dyDescent="0.2">
      <c r="D27" s="84" t="s">
        <v>237</v>
      </c>
      <c r="E27" s="85">
        <f>IF(H20 = 0, 0.5, E16/H20)</f>
        <v>0.5</v>
      </c>
      <c r="F27" s="86"/>
      <c r="G27" s="87" t="s">
        <v>238</v>
      </c>
      <c r="H27" s="80">
        <f t="shared" si="72"/>
        <v>0.5</v>
      </c>
      <c r="I27" s="83"/>
      <c r="K27" s="84" t="s">
        <v>237</v>
      </c>
      <c r="L27" s="85">
        <f>IF(O20 = 0, 0.5, L16/O20)</f>
        <v>0.5</v>
      </c>
      <c r="M27" s="86"/>
      <c r="N27" s="87" t="s">
        <v>238</v>
      </c>
      <c r="O27" s="80">
        <f t="shared" si="73"/>
        <v>0.5</v>
      </c>
      <c r="P27" s="83"/>
      <c r="R27" s="84" t="s">
        <v>237</v>
      </c>
      <c r="S27" s="85">
        <f>IF(V20 = 0, 0.5, S16/V20)</f>
        <v>0.5</v>
      </c>
      <c r="T27" s="86"/>
      <c r="U27" s="87" t="s">
        <v>238</v>
      </c>
      <c r="V27" s="80">
        <f t="shared" si="74"/>
        <v>0.5</v>
      </c>
      <c r="W27" s="83"/>
      <c r="Y27" s="84" t="s">
        <v>237</v>
      </c>
      <c r="Z27" s="85">
        <f>IF(AC20 = 0, 0.5, Z16/AC20)</f>
        <v>0.5</v>
      </c>
      <c r="AA27" s="86"/>
      <c r="AB27" s="87" t="s">
        <v>238</v>
      </c>
      <c r="AC27" s="80">
        <f t="shared" si="75"/>
        <v>0.5</v>
      </c>
      <c r="AD27" s="83"/>
      <c r="AF27" s="84" t="s">
        <v>237</v>
      </c>
      <c r="AG27" s="85">
        <f>IF(AJ20 = 0, 0.5, AG16/AJ20)</f>
        <v>0.5</v>
      </c>
      <c r="AH27" s="86"/>
      <c r="AI27" s="87" t="s">
        <v>238</v>
      </c>
      <c r="AJ27" s="80">
        <f t="shared" si="76"/>
        <v>0.5</v>
      </c>
      <c r="AK27" s="83"/>
      <c r="AM27" s="84" t="s">
        <v>237</v>
      </c>
      <c r="AN27" s="85">
        <f>IF(AQ20 = 0, 0.5, AN16/AQ20)</f>
        <v>0.5</v>
      </c>
      <c r="AO27" s="86"/>
      <c r="AP27" s="87" t="s">
        <v>238</v>
      </c>
      <c r="AQ27" s="80">
        <f t="shared" si="77"/>
        <v>0.5</v>
      </c>
      <c r="AR27" s="83"/>
      <c r="AT27" s="84" t="s">
        <v>237</v>
      </c>
      <c r="AU27" s="85">
        <f>IF(AX20 = 0, 0.5, AU16/AX20)</f>
        <v>0.5</v>
      </c>
      <c r="AV27" s="86"/>
      <c r="AW27" s="87" t="s">
        <v>238</v>
      </c>
      <c r="AX27" s="80">
        <f t="shared" si="78"/>
        <v>0.5</v>
      </c>
      <c r="AY27" s="83"/>
      <c r="BA27" s="84" t="s">
        <v>237</v>
      </c>
      <c r="BB27" s="85">
        <f>IF(BE20 = 0, 0.5, BB16/BE20)</f>
        <v>0.5</v>
      </c>
      <c r="BC27" s="86"/>
      <c r="BD27" s="87" t="s">
        <v>238</v>
      </c>
      <c r="BE27" s="80">
        <f t="shared" si="79"/>
        <v>0.5</v>
      </c>
      <c r="BF27" s="83"/>
      <c r="BH27" s="84" t="s">
        <v>237</v>
      </c>
      <c r="BI27" s="85">
        <f>IF(BL20 = 0, 0.5, BI16/BL20)</f>
        <v>0.5</v>
      </c>
      <c r="BJ27" s="86"/>
      <c r="BK27" s="87" t="s">
        <v>238</v>
      </c>
      <c r="BL27" s="80">
        <f t="shared" si="80"/>
        <v>0.5</v>
      </c>
      <c r="BM27" s="83"/>
      <c r="BO27" s="84" t="s">
        <v>237</v>
      </c>
      <c r="BP27" s="85">
        <f>IF(BS20 = 0, 0.5, BP16/BS20)</f>
        <v>0.5</v>
      </c>
      <c r="BQ27" s="86"/>
      <c r="BR27" s="87" t="s">
        <v>238</v>
      </c>
      <c r="BS27" s="80">
        <f t="shared" si="81"/>
        <v>0.5</v>
      </c>
      <c r="BT27" s="83"/>
      <c r="BV27" s="84" t="s">
        <v>237</v>
      </c>
      <c r="BW27" s="85">
        <f>IF(BZ20 = 0, 0.5, BW16/BZ20)</f>
        <v>0.5</v>
      </c>
      <c r="BX27" s="86"/>
      <c r="BY27" s="87" t="s">
        <v>238</v>
      </c>
      <c r="BZ27" s="80">
        <f t="shared" si="82"/>
        <v>0.5</v>
      </c>
      <c r="CA27" s="83"/>
      <c r="CC27" s="84" t="s">
        <v>237</v>
      </c>
      <c r="CD27" s="85">
        <f>IF(CG20 = 0, 0.5, CD16/CG20)</f>
        <v>0.5</v>
      </c>
      <c r="CE27" s="86"/>
      <c r="CF27" s="87" t="s">
        <v>238</v>
      </c>
      <c r="CG27" s="80">
        <f t="shared" si="83"/>
        <v>0.5</v>
      </c>
      <c r="CH27" s="83"/>
      <c r="CJ27" s="84" t="s">
        <v>237</v>
      </c>
      <c r="CK27" s="85">
        <f>IF(CN20 = 0, 0.5, CK16/CN20)</f>
        <v>0.5</v>
      </c>
      <c r="CL27" s="86"/>
      <c r="CM27" s="87" t="s">
        <v>238</v>
      </c>
      <c r="CN27" s="80">
        <f t="shared" si="84"/>
        <v>0.5</v>
      </c>
      <c r="CO27" s="83"/>
      <c r="CQ27" s="84" t="s">
        <v>237</v>
      </c>
      <c r="CR27" s="85">
        <f>IF(CU20 = 0, 0.5, CR16/CU20)</f>
        <v>0.5</v>
      </c>
      <c r="CS27" s="86"/>
      <c r="CT27" s="87" t="s">
        <v>238</v>
      </c>
      <c r="CU27" s="80">
        <f t="shared" si="85"/>
        <v>0.5</v>
      </c>
      <c r="CV27" s="83"/>
      <c r="CX27" s="84" t="s">
        <v>237</v>
      </c>
      <c r="CY27" s="85">
        <f>IF(DB20 = 0, 0.5, CY16/DB20)</f>
        <v>0.5</v>
      </c>
      <c r="CZ27" s="86"/>
      <c r="DA27" s="87" t="s">
        <v>238</v>
      </c>
      <c r="DB27" s="80">
        <f t="shared" si="86"/>
        <v>0.5</v>
      </c>
      <c r="DC27" s="83"/>
      <c r="DE27" s="84" t="s">
        <v>237</v>
      </c>
      <c r="DF27" s="85">
        <f>IF(DI20 = 0, 0.5, DF16/DI20)</f>
        <v>0.5</v>
      </c>
      <c r="DG27" s="86"/>
      <c r="DH27" s="87" t="s">
        <v>238</v>
      </c>
      <c r="DI27" s="80">
        <f t="shared" si="87"/>
        <v>0.5</v>
      </c>
      <c r="DJ27" s="83"/>
      <c r="DL27" s="84" t="s">
        <v>237</v>
      </c>
      <c r="DM27" s="85">
        <f>IF(DP20 = 0, 0.5, DM16/DP20)</f>
        <v>0.5</v>
      </c>
      <c r="DN27" s="86"/>
      <c r="DO27" s="87" t="s">
        <v>238</v>
      </c>
      <c r="DP27" s="80">
        <f t="shared" si="88"/>
        <v>0.5</v>
      </c>
      <c r="DQ27" s="83"/>
      <c r="DS27" s="84" t="s">
        <v>237</v>
      </c>
      <c r="DT27" s="85">
        <f>IF(DW20 = 0, 0.5, DT16/DW20)</f>
        <v>0.5</v>
      </c>
      <c r="DU27" s="86"/>
      <c r="DV27" s="87" t="s">
        <v>238</v>
      </c>
      <c r="DW27" s="80">
        <f t="shared" si="89"/>
        <v>0.5</v>
      </c>
      <c r="DX27" s="83"/>
      <c r="DZ27" s="84" t="s">
        <v>237</v>
      </c>
      <c r="EA27" s="85">
        <f>IF(ED20 = 0, 0.5, EA16/ED20)</f>
        <v>0.5</v>
      </c>
      <c r="EB27" s="86"/>
      <c r="EC27" s="87" t="s">
        <v>238</v>
      </c>
      <c r="ED27" s="80">
        <f t="shared" si="90"/>
        <v>0.5</v>
      </c>
      <c r="EE27" s="83"/>
      <c r="EG27" s="84" t="s">
        <v>237</v>
      </c>
      <c r="EH27" s="85">
        <f>IF(EK20 = 0, 0.5, EH16/EK20)</f>
        <v>0.5</v>
      </c>
      <c r="EI27" s="86"/>
      <c r="EJ27" s="87" t="s">
        <v>238</v>
      </c>
      <c r="EK27" s="80">
        <f t="shared" si="91"/>
        <v>0.5</v>
      </c>
      <c r="EL27" s="83"/>
      <c r="EN27" s="84" t="s">
        <v>237</v>
      </c>
      <c r="EO27" s="85">
        <f>IF(ER20 = 0, 0.5, EO16/ER20)</f>
        <v>0.5</v>
      </c>
      <c r="EP27" s="86"/>
      <c r="EQ27" s="87" t="s">
        <v>238</v>
      </c>
      <c r="ER27" s="80">
        <f t="shared" si="92"/>
        <v>0.5</v>
      </c>
      <c r="ES27" s="83"/>
      <c r="EU27" s="84" t="s">
        <v>237</v>
      </c>
      <c r="EV27" s="85">
        <f>IF(EY20 = 0, 0.5, EV16/EY20)</f>
        <v>0.5</v>
      </c>
      <c r="EW27" s="86"/>
      <c r="EX27" s="87" t="s">
        <v>238</v>
      </c>
      <c r="EY27" s="80">
        <f t="shared" si="93"/>
        <v>0.5</v>
      </c>
      <c r="EZ27" s="83"/>
      <c r="FB27" s="84" t="s">
        <v>237</v>
      </c>
      <c r="FC27" s="85">
        <f>IF(FF20 = 0, 0.5, FC16/FF20)</f>
        <v>0.5</v>
      </c>
      <c r="FD27" s="86"/>
      <c r="FE27" s="87" t="s">
        <v>238</v>
      </c>
      <c r="FF27" s="80">
        <f t="shared" si="94"/>
        <v>0.5</v>
      </c>
      <c r="FG27" s="83"/>
      <c r="FI27" s="84" t="s">
        <v>237</v>
      </c>
      <c r="FJ27" s="85">
        <f>IF(FM20 = 0, 0.5, FJ16/FM20)</f>
        <v>0.5</v>
      </c>
      <c r="FK27" s="86"/>
      <c r="FL27" s="87" t="s">
        <v>238</v>
      </c>
      <c r="FM27" s="80">
        <f t="shared" si="95"/>
        <v>0.5</v>
      </c>
      <c r="FN27" s="83"/>
      <c r="FP27" s="84" t="s">
        <v>237</v>
      </c>
      <c r="FQ27" s="85">
        <f>IF(FT20 = 0, 0.5, FQ16/FT20)</f>
        <v>0.5</v>
      </c>
      <c r="FR27" s="86"/>
      <c r="FS27" s="87" t="s">
        <v>238</v>
      </c>
      <c r="FT27" s="80">
        <f t="shared" si="96"/>
        <v>0.5</v>
      </c>
      <c r="FU27" s="83"/>
      <c r="FW27" s="84" t="s">
        <v>237</v>
      </c>
      <c r="FX27" s="85">
        <f>IF(GA20 = 0, 0.5, FX16/GA20)</f>
        <v>0.5</v>
      </c>
      <c r="FY27" s="86"/>
      <c r="FZ27" s="87" t="s">
        <v>238</v>
      </c>
      <c r="GA27" s="80">
        <f t="shared" si="97"/>
        <v>0.5</v>
      </c>
      <c r="GB27" s="83"/>
      <c r="GD27" s="84" t="s">
        <v>237</v>
      </c>
      <c r="GE27" s="85">
        <f>IF(GH20 = 0, 0.5, GE16/GH20)</f>
        <v>0.5</v>
      </c>
      <c r="GF27" s="86"/>
      <c r="GG27" s="87" t="s">
        <v>238</v>
      </c>
      <c r="GH27" s="80">
        <f t="shared" si="98"/>
        <v>0.5</v>
      </c>
      <c r="GI27" s="83"/>
      <c r="GK27" s="84" t="s">
        <v>237</v>
      </c>
      <c r="GL27" s="85">
        <f>IF(GO20 = 0, 0.5, GL16/GO20)</f>
        <v>0.5</v>
      </c>
      <c r="GM27" s="86"/>
      <c r="GN27" s="87" t="s">
        <v>238</v>
      </c>
      <c r="GO27" s="80">
        <f t="shared" si="99"/>
        <v>0.5</v>
      </c>
      <c r="GP27" s="83"/>
      <c r="GR27" s="84" t="s">
        <v>237</v>
      </c>
      <c r="GS27" s="85">
        <f>IF(GV20 = 0, 0.5, GS16/GV20)</f>
        <v>0.5</v>
      </c>
      <c r="GT27" s="86"/>
      <c r="GU27" s="87" t="s">
        <v>238</v>
      </c>
      <c r="GV27" s="80">
        <f t="shared" si="100"/>
        <v>0.5</v>
      </c>
      <c r="GW27" s="83"/>
      <c r="GY27" s="84" t="s">
        <v>237</v>
      </c>
      <c r="GZ27" s="85">
        <f>IF(HC20 = 0, 0.5, GZ16/HC20)</f>
        <v>0.5</v>
      </c>
      <c r="HA27" s="86"/>
      <c r="HB27" s="87" t="s">
        <v>238</v>
      </c>
      <c r="HC27" s="80">
        <f t="shared" si="101"/>
        <v>0.5</v>
      </c>
      <c r="HD27" s="83"/>
      <c r="HF27" s="84" t="s">
        <v>237</v>
      </c>
      <c r="HG27" s="85">
        <f>IF(HJ20 = 0, 0.5, HG16/HJ20)</f>
        <v>0.5</v>
      </c>
      <c r="HH27" s="86"/>
      <c r="HI27" s="87" t="s">
        <v>238</v>
      </c>
      <c r="HJ27" s="80">
        <f t="shared" si="102"/>
        <v>0.5</v>
      </c>
      <c r="HK27" s="83"/>
      <c r="HM27" s="84" t="s">
        <v>237</v>
      </c>
      <c r="HN27" s="85">
        <f>IF(HQ20 = 0, 0.5, HN16/HQ20)</f>
        <v>0.5</v>
      </c>
      <c r="HO27" s="86"/>
      <c r="HP27" s="87" t="s">
        <v>238</v>
      </c>
      <c r="HQ27" s="80">
        <f t="shared" si="103"/>
        <v>0.5</v>
      </c>
      <c r="HR27" s="83"/>
      <c r="HT27" s="84" t="s">
        <v>237</v>
      </c>
      <c r="HU27" s="85">
        <f>IF(HX20 = 0, 0.5, HU16/HX20)</f>
        <v>0.5</v>
      </c>
      <c r="HV27" s="86"/>
      <c r="HW27" s="87" t="s">
        <v>238</v>
      </c>
      <c r="HX27" s="80">
        <f t="shared" si="104"/>
        <v>0.5</v>
      </c>
      <c r="HY27" s="83"/>
      <c r="IA27" s="84" t="s">
        <v>237</v>
      </c>
      <c r="IB27" s="85">
        <f>IF(IE20 = 0, 0.5, IB16/IE20)</f>
        <v>0.5</v>
      </c>
      <c r="IC27" s="86"/>
      <c r="ID27" s="87" t="s">
        <v>238</v>
      </c>
      <c r="IE27" s="80">
        <f t="shared" si="105"/>
        <v>0.5</v>
      </c>
      <c r="IF27" s="83"/>
      <c r="IH27" s="84" t="s">
        <v>237</v>
      </c>
      <c r="II27" s="85">
        <f>IF(IL20 = 0, 0.5, II16/IL20)</f>
        <v>0.5</v>
      </c>
      <c r="IJ27" s="86"/>
      <c r="IK27" s="87" t="s">
        <v>238</v>
      </c>
      <c r="IL27" s="80">
        <f t="shared" si="106"/>
        <v>0.5</v>
      </c>
      <c r="IM27" s="83"/>
      <c r="IO27" s="84" t="s">
        <v>237</v>
      </c>
      <c r="IP27" s="85">
        <f>IF(IS20 = 0, 0.5, IP16/IS20)</f>
        <v>0.5</v>
      </c>
      <c r="IQ27" s="86"/>
      <c r="IR27" s="87" t="s">
        <v>238</v>
      </c>
      <c r="IS27" s="80">
        <f t="shared" si="107"/>
        <v>0.5</v>
      </c>
      <c r="IT27" s="83"/>
    </row>
    <row r="28" spans="4:254" x14ac:dyDescent="0.2">
      <c r="D28" s="217" t="s">
        <v>239</v>
      </c>
      <c r="E28" s="217"/>
      <c r="F28" s="217"/>
      <c r="G28" s="88">
        <f>TRFdata!C33</f>
        <v>20338.983050847459</v>
      </c>
      <c r="H28" s="89">
        <v>1</v>
      </c>
      <c r="I28" s="90"/>
      <c r="K28" s="217" t="s">
        <v>239</v>
      </c>
      <c r="L28" s="217"/>
      <c r="M28" s="217"/>
      <c r="N28" s="88">
        <f>TRFdata!D33</f>
        <v>17647.058823529413</v>
      </c>
      <c r="O28" s="89">
        <v>1</v>
      </c>
      <c r="P28" s="90"/>
      <c r="R28" s="217" t="s">
        <v>239</v>
      </c>
      <c r="S28" s="217"/>
      <c r="T28" s="217"/>
      <c r="U28" s="88">
        <f>TRFdata!E33</f>
        <v>22153.846153846152</v>
      </c>
      <c r="V28" s="89">
        <v>1</v>
      </c>
      <c r="W28" s="90"/>
      <c r="Y28" s="217" t="s">
        <v>239</v>
      </c>
      <c r="Z28" s="217"/>
      <c r="AA28" s="217"/>
      <c r="AB28" s="88">
        <f>TRFdata!F33</f>
        <v>84540.117416829744</v>
      </c>
      <c r="AC28" s="89">
        <v>1</v>
      </c>
      <c r="AD28" s="90"/>
      <c r="AF28" s="217" t="s">
        <v>239</v>
      </c>
      <c r="AG28" s="217"/>
      <c r="AH28" s="217"/>
      <c r="AI28" s="88">
        <f>TRFdata!G33</f>
        <v>16603.251470079555</v>
      </c>
      <c r="AJ28" s="89">
        <v>1</v>
      </c>
      <c r="AK28" s="90"/>
      <c r="AM28" s="217" t="s">
        <v>239</v>
      </c>
      <c r="AN28" s="217"/>
      <c r="AO28" s="217"/>
      <c r="AP28" s="88">
        <f>TRFdata!H33</f>
        <v>14405.762304921969</v>
      </c>
      <c r="AQ28" s="89">
        <v>1</v>
      </c>
      <c r="AR28" s="90"/>
      <c r="AT28" s="217" t="s">
        <v>239</v>
      </c>
      <c r="AU28" s="217"/>
      <c r="AV28" s="217"/>
      <c r="AW28" s="88">
        <f>TRFdata!I33</f>
        <v>18084.772370486655</v>
      </c>
      <c r="AX28" s="89">
        <v>1</v>
      </c>
      <c r="AY28" s="90"/>
      <c r="BA28" s="217" t="s">
        <v>239</v>
      </c>
      <c r="BB28" s="217"/>
      <c r="BC28" s="217"/>
      <c r="BD28" s="88">
        <f>TRFdata!J33</f>
        <v>69012.340748432456</v>
      </c>
      <c r="BE28" s="89">
        <v>1</v>
      </c>
      <c r="BF28" s="90"/>
      <c r="BH28" s="217" t="s">
        <v>239</v>
      </c>
      <c r="BI28" s="217"/>
      <c r="BJ28" s="217"/>
      <c r="BK28" s="88">
        <f>TRFdata!K33</f>
        <v>14026.88486265342</v>
      </c>
      <c r="BL28" s="89">
        <v>1</v>
      </c>
      <c r="BM28" s="90"/>
      <c r="BO28" s="217" t="s">
        <v>239</v>
      </c>
      <c r="BP28" s="217"/>
      <c r="BQ28" s="217"/>
      <c r="BR28" s="88">
        <f>TRFdata!L33</f>
        <v>12170.385395537527</v>
      </c>
      <c r="BS28" s="89">
        <v>1</v>
      </c>
      <c r="BT28" s="90"/>
      <c r="BV28" s="217" t="s">
        <v>239</v>
      </c>
      <c r="BW28" s="217"/>
      <c r="BX28" s="217"/>
      <c r="BY28" s="88">
        <f>TRFdata!M33</f>
        <v>15278.514588859416</v>
      </c>
      <c r="BZ28" s="89">
        <v>1</v>
      </c>
      <c r="CA28" s="90"/>
      <c r="CC28" s="217" t="s">
        <v>239</v>
      </c>
      <c r="CD28" s="217"/>
      <c r="CE28" s="217"/>
      <c r="CF28" s="88">
        <f>TRFdata!N33</f>
        <v>58303.529252986031</v>
      </c>
      <c r="CG28" s="89">
        <v>1</v>
      </c>
      <c r="CH28" s="90"/>
      <c r="CJ28" s="217" t="s">
        <v>239</v>
      </c>
      <c r="CK28" s="217"/>
      <c r="CL28" s="217"/>
      <c r="CM28" s="88">
        <v>30000</v>
      </c>
      <c r="CN28" s="89">
        <v>1</v>
      </c>
      <c r="CO28" s="90"/>
      <c r="CQ28" s="217" t="s">
        <v>239</v>
      </c>
      <c r="CR28" s="217"/>
      <c r="CS28" s="217"/>
      <c r="CT28" s="88">
        <v>30000</v>
      </c>
      <c r="CU28" s="89">
        <v>1</v>
      </c>
      <c r="CV28" s="90"/>
      <c r="CX28" s="217" t="s">
        <v>239</v>
      </c>
      <c r="CY28" s="217"/>
      <c r="CZ28" s="217"/>
      <c r="DA28" s="88">
        <v>30000</v>
      </c>
      <c r="DB28" s="89">
        <v>1</v>
      </c>
      <c r="DC28" s="90"/>
      <c r="DE28" s="217" t="s">
        <v>239</v>
      </c>
      <c r="DF28" s="217"/>
      <c r="DG28" s="217"/>
      <c r="DH28" s="88">
        <v>30000</v>
      </c>
      <c r="DI28" s="89">
        <v>1</v>
      </c>
      <c r="DJ28" s="90"/>
      <c r="DL28" s="217" t="s">
        <v>239</v>
      </c>
      <c r="DM28" s="217"/>
      <c r="DN28" s="217"/>
      <c r="DO28" s="88">
        <v>30000</v>
      </c>
      <c r="DP28" s="89">
        <v>1</v>
      </c>
      <c r="DQ28" s="90"/>
      <c r="DS28" s="217" t="s">
        <v>239</v>
      </c>
      <c r="DT28" s="217"/>
      <c r="DU28" s="217"/>
      <c r="DV28" s="88">
        <v>30000</v>
      </c>
      <c r="DW28" s="89">
        <v>1</v>
      </c>
      <c r="DX28" s="90"/>
      <c r="DZ28" s="217" t="s">
        <v>239</v>
      </c>
      <c r="EA28" s="217"/>
      <c r="EB28" s="217"/>
      <c r="EC28" s="88">
        <v>30000</v>
      </c>
      <c r="ED28" s="89">
        <v>1</v>
      </c>
      <c r="EE28" s="90"/>
      <c r="EG28" s="217" t="s">
        <v>239</v>
      </c>
      <c r="EH28" s="217"/>
      <c r="EI28" s="217"/>
      <c r="EJ28" s="88">
        <v>30000</v>
      </c>
      <c r="EK28" s="89">
        <v>1</v>
      </c>
      <c r="EL28" s="90"/>
      <c r="EN28" s="217" t="s">
        <v>239</v>
      </c>
      <c r="EO28" s="217"/>
      <c r="EP28" s="217"/>
      <c r="EQ28" s="88">
        <v>30000</v>
      </c>
      <c r="ER28" s="89">
        <v>1</v>
      </c>
      <c r="ES28" s="90"/>
      <c r="EU28" s="217" t="s">
        <v>239</v>
      </c>
      <c r="EV28" s="217"/>
      <c r="EW28" s="217"/>
      <c r="EX28" s="88">
        <v>30000</v>
      </c>
      <c r="EY28" s="89">
        <v>1</v>
      </c>
      <c r="EZ28" s="90"/>
      <c r="FB28" s="217" t="s">
        <v>239</v>
      </c>
      <c r="FC28" s="217"/>
      <c r="FD28" s="217"/>
      <c r="FE28" s="88">
        <v>30000</v>
      </c>
      <c r="FF28" s="89">
        <v>1</v>
      </c>
      <c r="FG28" s="90"/>
      <c r="FI28" s="217" t="s">
        <v>239</v>
      </c>
      <c r="FJ28" s="217"/>
      <c r="FK28" s="217"/>
      <c r="FL28" s="88">
        <v>30000</v>
      </c>
      <c r="FM28" s="89">
        <v>1</v>
      </c>
      <c r="FN28" s="90"/>
      <c r="FP28" s="217" t="s">
        <v>239</v>
      </c>
      <c r="FQ28" s="217"/>
      <c r="FR28" s="217"/>
      <c r="FS28" s="88">
        <v>30000</v>
      </c>
      <c r="FT28" s="89">
        <v>1</v>
      </c>
      <c r="FU28" s="90"/>
      <c r="FW28" s="217" t="s">
        <v>239</v>
      </c>
      <c r="FX28" s="217"/>
      <c r="FY28" s="217"/>
      <c r="FZ28" s="88">
        <v>30000</v>
      </c>
      <c r="GA28" s="89">
        <v>1</v>
      </c>
      <c r="GB28" s="90"/>
      <c r="GD28" s="217" t="s">
        <v>239</v>
      </c>
      <c r="GE28" s="217"/>
      <c r="GF28" s="217"/>
      <c r="GG28" s="88">
        <v>30000</v>
      </c>
      <c r="GH28" s="89">
        <v>1</v>
      </c>
      <c r="GI28" s="90"/>
      <c r="GK28" s="217" t="s">
        <v>239</v>
      </c>
      <c r="GL28" s="217"/>
      <c r="GM28" s="217"/>
      <c r="GN28" s="88">
        <v>30000</v>
      </c>
      <c r="GO28" s="89">
        <v>1</v>
      </c>
      <c r="GP28" s="90"/>
      <c r="GR28" s="217" t="s">
        <v>239</v>
      </c>
      <c r="GS28" s="217"/>
      <c r="GT28" s="217"/>
      <c r="GU28" s="88">
        <v>30000</v>
      </c>
      <c r="GV28" s="89">
        <v>1</v>
      </c>
      <c r="GW28" s="90"/>
      <c r="GY28" s="217" t="s">
        <v>239</v>
      </c>
      <c r="GZ28" s="217"/>
      <c r="HA28" s="217"/>
      <c r="HB28" s="88">
        <v>30000</v>
      </c>
      <c r="HC28" s="89">
        <v>1</v>
      </c>
      <c r="HD28" s="90"/>
      <c r="HF28" s="217" t="s">
        <v>239</v>
      </c>
      <c r="HG28" s="217"/>
      <c r="HH28" s="217"/>
      <c r="HI28" s="88">
        <v>30000</v>
      </c>
      <c r="HJ28" s="89">
        <v>1</v>
      </c>
      <c r="HK28" s="90"/>
      <c r="HM28" s="217" t="s">
        <v>239</v>
      </c>
      <c r="HN28" s="217"/>
      <c r="HO28" s="217"/>
      <c r="HP28" s="88">
        <v>30000</v>
      </c>
      <c r="HQ28" s="89">
        <v>1</v>
      </c>
      <c r="HR28" s="90"/>
      <c r="HT28" s="217" t="s">
        <v>239</v>
      </c>
      <c r="HU28" s="217"/>
      <c r="HV28" s="217"/>
      <c r="HW28" s="88">
        <v>30000</v>
      </c>
      <c r="HX28" s="89">
        <v>1</v>
      </c>
      <c r="HY28" s="90"/>
      <c r="IA28" s="217" t="s">
        <v>239</v>
      </c>
      <c r="IB28" s="217"/>
      <c r="IC28" s="217"/>
      <c r="ID28" s="88">
        <v>30000</v>
      </c>
      <c r="IE28" s="89">
        <v>1</v>
      </c>
      <c r="IF28" s="90"/>
      <c r="IH28" s="217" t="s">
        <v>239</v>
      </c>
      <c r="II28" s="217"/>
      <c r="IJ28" s="217"/>
      <c r="IK28" s="88">
        <v>30000</v>
      </c>
      <c r="IL28" s="89">
        <v>1</v>
      </c>
      <c r="IM28" s="90"/>
      <c r="IO28" s="217" t="s">
        <v>239</v>
      </c>
      <c r="IP28" s="217"/>
      <c r="IQ28" s="217"/>
      <c r="IR28" s="88">
        <v>30000</v>
      </c>
      <c r="IS28" s="89">
        <v>1</v>
      </c>
      <c r="IT28" s="90"/>
    </row>
    <row r="29" spans="4:254" x14ac:dyDescent="0.2">
      <c r="D29" s="218" t="s">
        <v>240</v>
      </c>
      <c r="E29" s="218"/>
      <c r="F29" s="218"/>
      <c r="G29" s="91">
        <v>5000</v>
      </c>
      <c r="H29" s="92">
        <v>1</v>
      </c>
      <c r="I29" s="90"/>
      <c r="K29" s="218" t="s">
        <v>240</v>
      </c>
      <c r="L29" s="218"/>
      <c r="M29" s="218"/>
      <c r="N29" s="91">
        <v>5000</v>
      </c>
      <c r="O29" s="92">
        <v>1</v>
      </c>
      <c r="P29" s="90"/>
      <c r="R29" s="218" t="s">
        <v>240</v>
      </c>
      <c r="S29" s="218"/>
      <c r="T29" s="218"/>
      <c r="U29" s="91">
        <v>5000</v>
      </c>
      <c r="V29" s="92">
        <v>1</v>
      </c>
      <c r="W29" s="90"/>
      <c r="Y29" s="218" t="s">
        <v>240</v>
      </c>
      <c r="Z29" s="218"/>
      <c r="AA29" s="218"/>
      <c r="AB29" s="91">
        <v>5000</v>
      </c>
      <c r="AC29" s="92">
        <v>1</v>
      </c>
      <c r="AD29" s="90"/>
      <c r="AF29" s="218" t="s">
        <v>240</v>
      </c>
      <c r="AG29" s="218"/>
      <c r="AH29" s="218"/>
      <c r="AI29" s="91">
        <v>5000</v>
      </c>
      <c r="AJ29" s="92">
        <v>1</v>
      </c>
      <c r="AK29" s="90"/>
      <c r="AM29" s="218" t="s">
        <v>240</v>
      </c>
      <c r="AN29" s="218"/>
      <c r="AO29" s="218"/>
      <c r="AP29" s="91">
        <v>5000</v>
      </c>
      <c r="AQ29" s="92">
        <v>1</v>
      </c>
      <c r="AR29" s="90"/>
      <c r="AT29" s="218" t="s">
        <v>240</v>
      </c>
      <c r="AU29" s="218"/>
      <c r="AV29" s="218"/>
      <c r="AW29" s="91">
        <v>5000</v>
      </c>
      <c r="AX29" s="92">
        <v>1</v>
      </c>
      <c r="AY29" s="90"/>
      <c r="BA29" s="218" t="s">
        <v>240</v>
      </c>
      <c r="BB29" s="218"/>
      <c r="BC29" s="218"/>
      <c r="BD29" s="91">
        <v>5000</v>
      </c>
      <c r="BE29" s="92">
        <v>1</v>
      </c>
      <c r="BF29" s="90"/>
      <c r="BH29" s="218" t="s">
        <v>240</v>
      </c>
      <c r="BI29" s="218"/>
      <c r="BJ29" s="218"/>
      <c r="BK29" s="91">
        <v>5000</v>
      </c>
      <c r="BL29" s="92">
        <v>1</v>
      </c>
      <c r="BM29" s="90"/>
      <c r="BO29" s="218" t="s">
        <v>240</v>
      </c>
      <c r="BP29" s="218"/>
      <c r="BQ29" s="218"/>
      <c r="BR29" s="91">
        <v>5000</v>
      </c>
      <c r="BS29" s="92">
        <v>1</v>
      </c>
      <c r="BT29" s="90"/>
      <c r="BV29" s="218" t="s">
        <v>240</v>
      </c>
      <c r="BW29" s="218"/>
      <c r="BX29" s="218"/>
      <c r="BY29" s="91">
        <v>5000</v>
      </c>
      <c r="BZ29" s="92">
        <v>1</v>
      </c>
      <c r="CA29" s="90"/>
      <c r="CC29" s="218" t="s">
        <v>240</v>
      </c>
      <c r="CD29" s="218"/>
      <c r="CE29" s="218"/>
      <c r="CF29" s="91">
        <v>5000</v>
      </c>
      <c r="CG29" s="92">
        <v>1</v>
      </c>
      <c r="CH29" s="90"/>
      <c r="CJ29" s="218" t="s">
        <v>240</v>
      </c>
      <c r="CK29" s="218"/>
      <c r="CL29" s="218"/>
      <c r="CM29" s="91">
        <v>15000</v>
      </c>
      <c r="CN29" s="92">
        <v>1</v>
      </c>
      <c r="CO29" s="90"/>
      <c r="CQ29" s="218" t="s">
        <v>240</v>
      </c>
      <c r="CR29" s="218"/>
      <c r="CS29" s="218"/>
      <c r="CT29" s="91">
        <v>15000</v>
      </c>
      <c r="CU29" s="92">
        <v>1</v>
      </c>
      <c r="CV29" s="90"/>
      <c r="CX29" s="218" t="s">
        <v>240</v>
      </c>
      <c r="CY29" s="218"/>
      <c r="CZ29" s="218"/>
      <c r="DA29" s="91">
        <v>15000</v>
      </c>
      <c r="DB29" s="92">
        <v>1</v>
      </c>
      <c r="DC29" s="90"/>
      <c r="DE29" s="218" t="s">
        <v>240</v>
      </c>
      <c r="DF29" s="218"/>
      <c r="DG29" s="218"/>
      <c r="DH29" s="91">
        <v>15000</v>
      </c>
      <c r="DI29" s="92">
        <v>1</v>
      </c>
      <c r="DJ29" s="90"/>
      <c r="DL29" s="218" t="s">
        <v>240</v>
      </c>
      <c r="DM29" s="218"/>
      <c r="DN29" s="218"/>
      <c r="DO29" s="91">
        <v>15000</v>
      </c>
      <c r="DP29" s="92">
        <v>1</v>
      </c>
      <c r="DQ29" s="90"/>
      <c r="DS29" s="218" t="s">
        <v>240</v>
      </c>
      <c r="DT29" s="218"/>
      <c r="DU29" s="218"/>
      <c r="DV29" s="91">
        <v>15000</v>
      </c>
      <c r="DW29" s="92">
        <v>1</v>
      </c>
      <c r="DX29" s="90"/>
      <c r="DZ29" s="218" t="s">
        <v>240</v>
      </c>
      <c r="EA29" s="218"/>
      <c r="EB29" s="218"/>
      <c r="EC29" s="91">
        <v>15000</v>
      </c>
      <c r="ED29" s="92">
        <v>1</v>
      </c>
      <c r="EE29" s="90"/>
      <c r="EG29" s="218" t="s">
        <v>240</v>
      </c>
      <c r="EH29" s="218"/>
      <c r="EI29" s="218"/>
      <c r="EJ29" s="91">
        <v>15000</v>
      </c>
      <c r="EK29" s="92">
        <v>1</v>
      </c>
      <c r="EL29" s="90"/>
      <c r="EN29" s="218" t="s">
        <v>240</v>
      </c>
      <c r="EO29" s="218"/>
      <c r="EP29" s="218"/>
      <c r="EQ29" s="91">
        <v>15000</v>
      </c>
      <c r="ER29" s="92">
        <v>1</v>
      </c>
      <c r="ES29" s="90"/>
      <c r="EU29" s="218" t="s">
        <v>240</v>
      </c>
      <c r="EV29" s="218"/>
      <c r="EW29" s="218"/>
      <c r="EX29" s="91">
        <v>15000</v>
      </c>
      <c r="EY29" s="92">
        <v>1</v>
      </c>
      <c r="EZ29" s="90"/>
      <c r="FB29" s="218" t="s">
        <v>240</v>
      </c>
      <c r="FC29" s="218"/>
      <c r="FD29" s="218"/>
      <c r="FE29" s="91">
        <v>15000</v>
      </c>
      <c r="FF29" s="92">
        <v>1</v>
      </c>
      <c r="FG29" s="90"/>
      <c r="FI29" s="218" t="s">
        <v>240</v>
      </c>
      <c r="FJ29" s="218"/>
      <c r="FK29" s="218"/>
      <c r="FL29" s="91">
        <v>15000</v>
      </c>
      <c r="FM29" s="92">
        <v>1</v>
      </c>
      <c r="FN29" s="90"/>
      <c r="FP29" s="218" t="s">
        <v>240</v>
      </c>
      <c r="FQ29" s="218"/>
      <c r="FR29" s="218"/>
      <c r="FS29" s="91">
        <v>15000</v>
      </c>
      <c r="FT29" s="92">
        <v>1</v>
      </c>
      <c r="FU29" s="90"/>
      <c r="FW29" s="218" t="s">
        <v>240</v>
      </c>
      <c r="FX29" s="218"/>
      <c r="FY29" s="218"/>
      <c r="FZ29" s="91">
        <v>15000</v>
      </c>
      <c r="GA29" s="92">
        <v>1</v>
      </c>
      <c r="GB29" s="90"/>
      <c r="GD29" s="218" t="s">
        <v>240</v>
      </c>
      <c r="GE29" s="218"/>
      <c r="GF29" s="218"/>
      <c r="GG29" s="91">
        <v>15000</v>
      </c>
      <c r="GH29" s="92">
        <v>1</v>
      </c>
      <c r="GI29" s="90"/>
      <c r="GK29" s="218" t="s">
        <v>240</v>
      </c>
      <c r="GL29" s="218"/>
      <c r="GM29" s="218"/>
      <c r="GN29" s="91">
        <v>15000</v>
      </c>
      <c r="GO29" s="92">
        <v>1</v>
      </c>
      <c r="GP29" s="90"/>
      <c r="GR29" s="218" t="s">
        <v>240</v>
      </c>
      <c r="GS29" s="218"/>
      <c r="GT29" s="218"/>
      <c r="GU29" s="91">
        <v>15000</v>
      </c>
      <c r="GV29" s="92">
        <v>1</v>
      </c>
      <c r="GW29" s="90"/>
      <c r="GY29" s="218" t="s">
        <v>240</v>
      </c>
      <c r="GZ29" s="218"/>
      <c r="HA29" s="218"/>
      <c r="HB29" s="91">
        <v>15000</v>
      </c>
      <c r="HC29" s="92">
        <v>1</v>
      </c>
      <c r="HD29" s="90"/>
      <c r="HF29" s="218" t="s">
        <v>240</v>
      </c>
      <c r="HG29" s="218"/>
      <c r="HH29" s="218"/>
      <c r="HI29" s="91">
        <v>15000</v>
      </c>
      <c r="HJ29" s="92">
        <v>1</v>
      </c>
      <c r="HK29" s="90"/>
      <c r="HM29" s="218" t="s">
        <v>240</v>
      </c>
      <c r="HN29" s="218"/>
      <c r="HO29" s="218"/>
      <c r="HP29" s="91">
        <v>15000</v>
      </c>
      <c r="HQ29" s="92">
        <v>1</v>
      </c>
      <c r="HR29" s="90"/>
      <c r="HT29" s="218" t="s">
        <v>240</v>
      </c>
      <c r="HU29" s="218"/>
      <c r="HV29" s="218"/>
      <c r="HW29" s="91">
        <v>15000</v>
      </c>
      <c r="HX29" s="92">
        <v>1</v>
      </c>
      <c r="HY29" s="90"/>
      <c r="IA29" s="218" t="s">
        <v>240</v>
      </c>
      <c r="IB29" s="218"/>
      <c r="IC29" s="218"/>
      <c r="ID29" s="91">
        <v>15000</v>
      </c>
      <c r="IE29" s="92">
        <v>1</v>
      </c>
      <c r="IF29" s="90"/>
      <c r="IH29" s="218" t="s">
        <v>240</v>
      </c>
      <c r="II29" s="218"/>
      <c r="IJ29" s="218"/>
      <c r="IK29" s="91">
        <v>15000</v>
      </c>
      <c r="IL29" s="92">
        <v>1</v>
      </c>
      <c r="IM29" s="90"/>
      <c r="IO29" s="218" t="s">
        <v>240</v>
      </c>
      <c r="IP29" s="218"/>
      <c r="IQ29" s="218"/>
      <c r="IR29" s="91">
        <v>15000</v>
      </c>
      <c r="IS29" s="92">
        <v>1</v>
      </c>
      <c r="IT29" s="90"/>
    </row>
    <row r="30" spans="4:254" x14ac:dyDescent="0.2">
      <c r="D30" s="219"/>
      <c r="E30" s="219"/>
      <c r="F30" s="219"/>
      <c r="G30" s="93"/>
      <c r="H30" s="94"/>
      <c r="I30" s="90"/>
      <c r="K30" s="220"/>
      <c r="L30" s="220"/>
      <c r="M30" s="220"/>
      <c r="N30" s="93"/>
      <c r="O30" s="94"/>
      <c r="P30" s="90"/>
      <c r="R30" s="220"/>
      <c r="S30" s="220"/>
      <c r="T30" s="220"/>
      <c r="U30" s="93"/>
      <c r="V30" s="94"/>
      <c r="W30" s="90"/>
      <c r="Y30" s="219"/>
      <c r="Z30" s="219"/>
      <c r="AA30" s="219"/>
      <c r="AB30" s="93"/>
      <c r="AC30" s="94"/>
      <c r="AD30" s="90"/>
      <c r="AF30" s="219"/>
      <c r="AG30" s="219"/>
      <c r="AH30" s="219"/>
      <c r="AI30" s="93"/>
      <c r="AJ30" s="94"/>
      <c r="AK30" s="90"/>
      <c r="AM30" s="219"/>
      <c r="AN30" s="219"/>
      <c r="AO30" s="219"/>
      <c r="AP30" s="93"/>
      <c r="AQ30" s="94"/>
      <c r="AR30" s="90"/>
      <c r="AT30" s="219"/>
      <c r="AU30" s="219"/>
      <c r="AV30" s="219"/>
      <c r="AW30" s="93"/>
      <c r="AX30" s="94"/>
      <c r="AY30" s="90"/>
      <c r="BA30" s="219"/>
      <c r="BB30" s="219"/>
      <c r="BC30" s="219"/>
      <c r="BD30" s="93"/>
      <c r="BE30" s="94"/>
      <c r="BF30" s="90"/>
      <c r="BH30" s="219"/>
      <c r="BI30" s="219"/>
      <c r="BJ30" s="219"/>
      <c r="BK30" s="93"/>
      <c r="BL30" s="94"/>
      <c r="BM30" s="90"/>
      <c r="BO30" s="219"/>
      <c r="BP30" s="219"/>
      <c r="BQ30" s="219"/>
      <c r="BR30" s="93"/>
      <c r="BS30" s="94"/>
      <c r="BT30" s="90"/>
      <c r="BV30" s="219"/>
      <c r="BW30" s="219"/>
      <c r="BX30" s="219"/>
      <c r="BY30" s="93"/>
      <c r="BZ30" s="94"/>
      <c r="CA30" s="90"/>
      <c r="CC30" s="219"/>
      <c r="CD30" s="219"/>
      <c r="CE30" s="219"/>
      <c r="CF30" s="93"/>
      <c r="CG30" s="94"/>
      <c r="CH30" s="90"/>
      <c r="CJ30" s="219"/>
      <c r="CK30" s="219"/>
      <c r="CL30" s="219"/>
      <c r="CM30" s="93"/>
      <c r="CN30" s="94"/>
      <c r="CO30" s="90"/>
      <c r="CQ30" s="219"/>
      <c r="CR30" s="219"/>
      <c r="CS30" s="219"/>
      <c r="CT30" s="93"/>
      <c r="CU30" s="94"/>
      <c r="CV30" s="90"/>
      <c r="CX30" s="219"/>
      <c r="CY30" s="219"/>
      <c r="CZ30" s="219"/>
      <c r="DA30" s="93"/>
      <c r="DB30" s="94"/>
      <c r="DC30" s="90"/>
      <c r="DE30" s="219"/>
      <c r="DF30" s="219"/>
      <c r="DG30" s="219"/>
      <c r="DH30" s="93"/>
      <c r="DI30" s="94"/>
      <c r="DJ30" s="90"/>
      <c r="DL30" s="219"/>
      <c r="DM30" s="219"/>
      <c r="DN30" s="219"/>
      <c r="DO30" s="93"/>
      <c r="DP30" s="94"/>
      <c r="DQ30" s="90"/>
      <c r="DS30" s="219"/>
      <c r="DT30" s="219"/>
      <c r="DU30" s="219"/>
      <c r="DV30" s="93"/>
      <c r="DW30" s="94"/>
      <c r="DX30" s="90"/>
      <c r="DZ30" s="219"/>
      <c r="EA30" s="219"/>
      <c r="EB30" s="219"/>
      <c r="EC30" s="93"/>
      <c r="ED30" s="94"/>
      <c r="EE30" s="90"/>
      <c r="EG30" s="219"/>
      <c r="EH30" s="219"/>
      <c r="EI30" s="219"/>
      <c r="EJ30" s="93"/>
      <c r="EK30" s="94"/>
      <c r="EL30" s="90"/>
      <c r="EN30" s="219"/>
      <c r="EO30" s="219"/>
      <c r="EP30" s="219"/>
      <c r="EQ30" s="93"/>
      <c r="ER30" s="94"/>
      <c r="ES30" s="90"/>
      <c r="EU30" s="219"/>
      <c r="EV30" s="219"/>
      <c r="EW30" s="219"/>
      <c r="EX30" s="93"/>
      <c r="EY30" s="94"/>
      <c r="EZ30" s="90"/>
      <c r="FB30" s="219"/>
      <c r="FC30" s="219"/>
      <c r="FD30" s="219"/>
      <c r="FE30" s="93"/>
      <c r="FF30" s="94"/>
      <c r="FG30" s="90"/>
      <c r="FI30" s="219"/>
      <c r="FJ30" s="219"/>
      <c r="FK30" s="219"/>
      <c r="FL30" s="93"/>
      <c r="FM30" s="94"/>
      <c r="FN30" s="90"/>
      <c r="FP30" s="219"/>
      <c r="FQ30" s="219"/>
      <c r="FR30" s="219"/>
      <c r="FS30" s="93"/>
      <c r="FT30" s="94"/>
      <c r="FU30" s="90"/>
      <c r="FW30" s="219"/>
      <c r="FX30" s="219"/>
      <c r="FY30" s="219"/>
      <c r="FZ30" s="93"/>
      <c r="GA30" s="94"/>
      <c r="GB30" s="90"/>
      <c r="GD30" s="219"/>
      <c r="GE30" s="219"/>
      <c r="GF30" s="219"/>
      <c r="GG30" s="93"/>
      <c r="GH30" s="94"/>
      <c r="GI30" s="90"/>
      <c r="GK30" s="219"/>
      <c r="GL30" s="219"/>
      <c r="GM30" s="219"/>
      <c r="GN30" s="93"/>
      <c r="GO30" s="94"/>
      <c r="GP30" s="90"/>
      <c r="GR30" s="219"/>
      <c r="GS30" s="219"/>
      <c r="GT30" s="219"/>
      <c r="GU30" s="93"/>
      <c r="GV30" s="94"/>
      <c r="GW30" s="90"/>
      <c r="GY30" s="219"/>
      <c r="GZ30" s="219"/>
      <c r="HA30" s="219"/>
      <c r="HB30" s="93"/>
      <c r="HC30" s="94"/>
      <c r="HD30" s="90"/>
      <c r="HF30" s="219"/>
      <c r="HG30" s="219"/>
      <c r="HH30" s="219"/>
      <c r="HI30" s="93"/>
      <c r="HJ30" s="94"/>
      <c r="HK30" s="90"/>
      <c r="HM30" s="219"/>
      <c r="HN30" s="219"/>
      <c r="HO30" s="219"/>
      <c r="HP30" s="93"/>
      <c r="HQ30" s="94"/>
      <c r="HR30" s="90"/>
      <c r="HT30" s="219"/>
      <c r="HU30" s="219"/>
      <c r="HV30" s="219"/>
      <c r="HW30" s="93"/>
      <c r="HX30" s="94"/>
      <c r="HY30" s="90"/>
      <c r="IA30" s="219"/>
      <c r="IB30" s="219"/>
      <c r="IC30" s="219"/>
      <c r="ID30" s="93"/>
      <c r="IE30" s="94"/>
      <c r="IF30" s="90"/>
      <c r="IH30" s="219"/>
      <c r="II30" s="219"/>
      <c r="IJ30" s="219"/>
      <c r="IK30" s="93"/>
      <c r="IL30" s="94"/>
      <c r="IM30" s="90"/>
      <c r="IO30" s="219"/>
      <c r="IP30" s="219"/>
      <c r="IQ30" s="219"/>
      <c r="IR30" s="93"/>
      <c r="IS30" s="94"/>
      <c r="IT30" s="90"/>
    </row>
    <row r="31" spans="4:254" x14ac:dyDescent="0.2">
      <c r="D31" s="95" t="s">
        <v>241</v>
      </c>
      <c r="E31" s="96">
        <v>50</v>
      </c>
      <c r="F31" s="97"/>
      <c r="G31" s="95" t="s">
        <v>242</v>
      </c>
      <c r="H31" s="98">
        <v>50</v>
      </c>
      <c r="I31" s="99"/>
      <c r="K31" s="95" t="s">
        <v>241</v>
      </c>
      <c r="L31" s="96">
        <v>50</v>
      </c>
      <c r="M31" s="97"/>
      <c r="N31" s="95" t="s">
        <v>242</v>
      </c>
      <c r="O31" s="98">
        <v>50</v>
      </c>
      <c r="P31" s="99"/>
      <c r="R31" s="95" t="s">
        <v>241</v>
      </c>
      <c r="S31" s="96">
        <v>50</v>
      </c>
      <c r="T31" s="97"/>
      <c r="U31" s="95" t="s">
        <v>242</v>
      </c>
      <c r="V31" s="98">
        <v>50</v>
      </c>
      <c r="W31" s="99"/>
      <c r="Y31" s="95" t="s">
        <v>241</v>
      </c>
      <c r="Z31" s="96">
        <v>50</v>
      </c>
      <c r="AA31" s="97"/>
      <c r="AB31" s="95" t="s">
        <v>242</v>
      </c>
      <c r="AC31" s="98">
        <v>50</v>
      </c>
      <c r="AD31" s="99"/>
      <c r="AF31" s="95" t="s">
        <v>241</v>
      </c>
      <c r="AG31" s="96">
        <v>50</v>
      </c>
      <c r="AH31" s="97"/>
      <c r="AI31" s="95" t="s">
        <v>242</v>
      </c>
      <c r="AJ31" s="98">
        <v>50</v>
      </c>
      <c r="AK31" s="99"/>
      <c r="AM31" s="95" t="s">
        <v>241</v>
      </c>
      <c r="AN31" s="96">
        <v>50</v>
      </c>
      <c r="AO31" s="97"/>
      <c r="AP31" s="95" t="s">
        <v>242</v>
      </c>
      <c r="AQ31" s="98">
        <v>50</v>
      </c>
      <c r="AR31" s="99"/>
      <c r="AT31" s="95" t="s">
        <v>241</v>
      </c>
      <c r="AU31" s="96">
        <v>50</v>
      </c>
      <c r="AV31" s="97"/>
      <c r="AW31" s="95" t="s">
        <v>242</v>
      </c>
      <c r="AX31" s="98">
        <v>50</v>
      </c>
      <c r="AY31" s="99"/>
      <c r="BA31" s="95" t="s">
        <v>241</v>
      </c>
      <c r="BB31" s="96">
        <v>50</v>
      </c>
      <c r="BC31" s="97"/>
      <c r="BD31" s="95" t="s">
        <v>242</v>
      </c>
      <c r="BE31" s="98">
        <v>50</v>
      </c>
      <c r="BF31" s="99"/>
      <c r="BH31" s="95" t="s">
        <v>241</v>
      </c>
      <c r="BI31" s="96">
        <v>50</v>
      </c>
      <c r="BJ31" s="97"/>
      <c r="BK31" s="95" t="s">
        <v>242</v>
      </c>
      <c r="BL31" s="98">
        <v>50</v>
      </c>
      <c r="BM31" s="99"/>
      <c r="BO31" s="95" t="s">
        <v>241</v>
      </c>
      <c r="BP31" s="96">
        <v>50</v>
      </c>
      <c r="BQ31" s="97"/>
      <c r="BR31" s="95" t="s">
        <v>242</v>
      </c>
      <c r="BS31" s="98">
        <v>50</v>
      </c>
      <c r="BT31" s="99"/>
      <c r="BV31" s="95" t="s">
        <v>241</v>
      </c>
      <c r="BW31" s="96">
        <v>50</v>
      </c>
      <c r="BX31" s="97"/>
      <c r="BY31" s="95" t="s">
        <v>242</v>
      </c>
      <c r="BZ31" s="98">
        <v>50</v>
      </c>
      <c r="CA31" s="99"/>
      <c r="CC31" s="95" t="s">
        <v>241</v>
      </c>
      <c r="CD31" s="96">
        <v>50</v>
      </c>
      <c r="CE31" s="97"/>
      <c r="CF31" s="95" t="s">
        <v>242</v>
      </c>
      <c r="CG31" s="98">
        <v>50</v>
      </c>
      <c r="CH31" s="99"/>
      <c r="CJ31" s="95" t="s">
        <v>241</v>
      </c>
      <c r="CK31" s="96">
        <v>50</v>
      </c>
      <c r="CL31" s="97"/>
      <c r="CM31" s="95" t="s">
        <v>242</v>
      </c>
      <c r="CN31" s="98">
        <v>50</v>
      </c>
      <c r="CO31" s="99"/>
      <c r="CQ31" s="95" t="s">
        <v>241</v>
      </c>
      <c r="CR31" s="96">
        <v>50</v>
      </c>
      <c r="CS31" s="97"/>
      <c r="CT31" s="95" t="s">
        <v>242</v>
      </c>
      <c r="CU31" s="98">
        <v>50</v>
      </c>
      <c r="CV31" s="99"/>
      <c r="CX31" s="95" t="s">
        <v>241</v>
      </c>
      <c r="CY31" s="96">
        <v>50</v>
      </c>
      <c r="CZ31" s="97"/>
      <c r="DA31" s="95" t="s">
        <v>242</v>
      </c>
      <c r="DB31" s="98">
        <v>50</v>
      </c>
      <c r="DC31" s="99"/>
      <c r="DE31" s="95" t="s">
        <v>241</v>
      </c>
      <c r="DF31" s="96">
        <v>50</v>
      </c>
      <c r="DG31" s="97"/>
      <c r="DH31" s="95" t="s">
        <v>242</v>
      </c>
      <c r="DI31" s="98">
        <v>50</v>
      </c>
      <c r="DJ31" s="99"/>
      <c r="DL31" s="95" t="s">
        <v>241</v>
      </c>
      <c r="DM31" s="96">
        <v>50</v>
      </c>
      <c r="DN31" s="97"/>
      <c r="DO31" s="95" t="s">
        <v>242</v>
      </c>
      <c r="DP31" s="98">
        <v>50</v>
      </c>
      <c r="DQ31" s="99"/>
      <c r="DS31" s="95" t="s">
        <v>241</v>
      </c>
      <c r="DT31" s="96">
        <v>50</v>
      </c>
      <c r="DU31" s="97"/>
      <c r="DV31" s="95" t="s">
        <v>242</v>
      </c>
      <c r="DW31" s="98">
        <v>50</v>
      </c>
      <c r="DX31" s="99"/>
      <c r="DZ31" s="95" t="s">
        <v>241</v>
      </c>
      <c r="EA31" s="96">
        <v>50</v>
      </c>
      <c r="EB31" s="97"/>
      <c r="EC31" s="95" t="s">
        <v>242</v>
      </c>
      <c r="ED31" s="98">
        <v>50</v>
      </c>
      <c r="EE31" s="99"/>
      <c r="EG31" s="95" t="s">
        <v>241</v>
      </c>
      <c r="EH31" s="96">
        <v>50</v>
      </c>
      <c r="EI31" s="97"/>
      <c r="EJ31" s="95" t="s">
        <v>242</v>
      </c>
      <c r="EK31" s="98">
        <v>50</v>
      </c>
      <c r="EL31" s="99"/>
      <c r="EN31" s="95" t="s">
        <v>241</v>
      </c>
      <c r="EO31" s="96">
        <v>50</v>
      </c>
      <c r="EP31" s="97"/>
      <c r="EQ31" s="95" t="s">
        <v>242</v>
      </c>
      <c r="ER31" s="98">
        <v>50</v>
      </c>
      <c r="ES31" s="99"/>
      <c r="EU31" s="95" t="s">
        <v>241</v>
      </c>
      <c r="EV31" s="96">
        <v>50</v>
      </c>
      <c r="EW31" s="97"/>
      <c r="EX31" s="95" t="s">
        <v>242</v>
      </c>
      <c r="EY31" s="98">
        <v>50</v>
      </c>
      <c r="EZ31" s="99"/>
      <c r="FB31" s="95" t="s">
        <v>241</v>
      </c>
      <c r="FC31" s="96">
        <v>50</v>
      </c>
      <c r="FD31" s="97"/>
      <c r="FE31" s="95" t="s">
        <v>242</v>
      </c>
      <c r="FF31" s="98">
        <v>50</v>
      </c>
      <c r="FG31" s="99"/>
      <c r="FI31" s="95" t="s">
        <v>241</v>
      </c>
      <c r="FJ31" s="96">
        <v>50</v>
      </c>
      <c r="FK31" s="97"/>
      <c r="FL31" s="95" t="s">
        <v>242</v>
      </c>
      <c r="FM31" s="98">
        <v>50</v>
      </c>
      <c r="FN31" s="99"/>
      <c r="FP31" s="95" t="s">
        <v>241</v>
      </c>
      <c r="FQ31" s="96">
        <v>50</v>
      </c>
      <c r="FR31" s="97"/>
      <c r="FS31" s="95" t="s">
        <v>242</v>
      </c>
      <c r="FT31" s="98">
        <v>50</v>
      </c>
      <c r="FU31" s="99"/>
      <c r="FW31" s="95" t="s">
        <v>241</v>
      </c>
      <c r="FX31" s="96">
        <v>50</v>
      </c>
      <c r="FY31" s="97"/>
      <c r="FZ31" s="95" t="s">
        <v>242</v>
      </c>
      <c r="GA31" s="98">
        <v>50</v>
      </c>
      <c r="GB31" s="99"/>
      <c r="GD31" s="95" t="s">
        <v>241</v>
      </c>
      <c r="GE31" s="96">
        <v>50</v>
      </c>
      <c r="GF31" s="97"/>
      <c r="GG31" s="95" t="s">
        <v>242</v>
      </c>
      <c r="GH31" s="98">
        <v>50</v>
      </c>
      <c r="GI31" s="99"/>
      <c r="GK31" s="95" t="s">
        <v>241</v>
      </c>
      <c r="GL31" s="96">
        <v>50</v>
      </c>
      <c r="GM31" s="97"/>
      <c r="GN31" s="95" t="s">
        <v>242</v>
      </c>
      <c r="GO31" s="98">
        <v>50</v>
      </c>
      <c r="GP31" s="99"/>
      <c r="GR31" s="95" t="s">
        <v>241</v>
      </c>
      <c r="GS31" s="96">
        <v>50</v>
      </c>
      <c r="GT31" s="97"/>
      <c r="GU31" s="95" t="s">
        <v>242</v>
      </c>
      <c r="GV31" s="98">
        <v>50</v>
      </c>
      <c r="GW31" s="99"/>
      <c r="GY31" s="95" t="s">
        <v>241</v>
      </c>
      <c r="GZ31" s="96">
        <v>50</v>
      </c>
      <c r="HA31" s="97"/>
      <c r="HB31" s="95" t="s">
        <v>242</v>
      </c>
      <c r="HC31" s="98">
        <v>50</v>
      </c>
      <c r="HD31" s="99"/>
      <c r="HF31" s="95" t="s">
        <v>241</v>
      </c>
      <c r="HG31" s="96">
        <v>50</v>
      </c>
      <c r="HH31" s="97"/>
      <c r="HI31" s="95" t="s">
        <v>242</v>
      </c>
      <c r="HJ31" s="98">
        <v>50</v>
      </c>
      <c r="HK31" s="99"/>
      <c r="HM31" s="95" t="s">
        <v>241</v>
      </c>
      <c r="HN31" s="96">
        <v>50</v>
      </c>
      <c r="HO31" s="97"/>
      <c r="HP31" s="95" t="s">
        <v>242</v>
      </c>
      <c r="HQ31" s="98">
        <v>50</v>
      </c>
      <c r="HR31" s="99"/>
      <c r="HT31" s="95" t="s">
        <v>241</v>
      </c>
      <c r="HU31" s="96">
        <v>50</v>
      </c>
      <c r="HV31" s="97"/>
      <c r="HW31" s="95" t="s">
        <v>242</v>
      </c>
      <c r="HX31" s="98">
        <v>50</v>
      </c>
      <c r="HY31" s="99"/>
      <c r="IA31" s="95" t="s">
        <v>241</v>
      </c>
      <c r="IB31" s="96">
        <v>50</v>
      </c>
      <c r="IC31" s="97"/>
      <c r="ID31" s="95" t="s">
        <v>242</v>
      </c>
      <c r="IE31" s="98">
        <v>50</v>
      </c>
      <c r="IF31" s="99"/>
      <c r="IH31" s="95" t="s">
        <v>241</v>
      </c>
      <c r="II31" s="96">
        <v>50</v>
      </c>
      <c r="IJ31" s="97"/>
      <c r="IK31" s="95" t="s">
        <v>242</v>
      </c>
      <c r="IL31" s="98">
        <v>50</v>
      </c>
      <c r="IM31" s="99"/>
      <c r="IO31" s="95" t="s">
        <v>241</v>
      </c>
      <c r="IP31" s="96">
        <v>50</v>
      </c>
      <c r="IQ31" s="97"/>
      <c r="IR31" s="95" t="s">
        <v>242</v>
      </c>
      <c r="IS31" s="98">
        <v>50</v>
      </c>
      <c r="IT31" s="99"/>
    </row>
    <row r="33" spans="4:254" x14ac:dyDescent="0.2">
      <c r="F33" s="100" t="s">
        <v>243</v>
      </c>
      <c r="G33" s="101" t="str">
        <f>_TN1</f>
        <v>MRNoSec_2018A</v>
      </c>
      <c r="L33" s="30"/>
      <c r="M33" s="100" t="s">
        <v>243</v>
      </c>
      <c r="N33" s="101" t="str">
        <f>_TN2</f>
        <v>MRNoSec_2018P</v>
      </c>
      <c r="O33" s="30"/>
      <c r="P33" s="30"/>
      <c r="S33" s="30"/>
      <c r="T33" s="100" t="s">
        <v>243</v>
      </c>
      <c r="U33" s="101" t="str">
        <f>_TN3</f>
        <v>MRNoSec_2018D</v>
      </c>
      <c r="V33" s="30"/>
      <c r="W33" s="30"/>
      <c r="Z33" s="30"/>
      <c r="AA33" s="100" t="s">
        <v>243</v>
      </c>
      <c r="AB33" s="101" t="str">
        <f>_TN4</f>
        <v>MRNoSec_2018N</v>
      </c>
      <c r="AC33" s="30"/>
      <c r="AD33" s="30"/>
      <c r="AG33" s="30"/>
      <c r="AH33" s="100" t="s">
        <v>243</v>
      </c>
      <c r="AI33" s="101" t="str">
        <f>_TN5</f>
        <v>MRNoSec_2033A</v>
      </c>
      <c r="AJ33" s="30"/>
      <c r="AK33" s="30"/>
      <c r="AN33" s="30"/>
      <c r="AO33" s="100" t="s">
        <v>243</v>
      </c>
      <c r="AP33" s="101" t="str">
        <f>_TN6</f>
        <v>MRNoSec_2033P</v>
      </c>
      <c r="AQ33" s="30"/>
      <c r="AR33" s="30"/>
      <c r="AU33" s="30"/>
      <c r="AV33" s="100" t="s">
        <v>243</v>
      </c>
      <c r="AW33" s="101" t="str">
        <f>_TN7</f>
        <v>MRNoSec_2033D</v>
      </c>
      <c r="AX33" s="30"/>
      <c r="AY33" s="30"/>
      <c r="BB33" s="30"/>
      <c r="BC33" s="100" t="s">
        <v>243</v>
      </c>
      <c r="BD33" s="101" t="str">
        <f>_TN8</f>
        <v>MRNoSec_2033N</v>
      </c>
      <c r="BE33" s="30"/>
      <c r="BF33" s="30"/>
      <c r="BI33" s="30"/>
      <c r="BJ33" s="100" t="s">
        <v>243</v>
      </c>
      <c r="BK33" s="101" t="str">
        <f>_TN9</f>
        <v>MRNoSec_2048A</v>
      </c>
      <c r="BL33" s="30"/>
      <c r="BM33" s="30"/>
      <c r="BP33" s="30"/>
      <c r="BQ33" s="100" t="s">
        <v>243</v>
      </c>
      <c r="BR33" s="101" t="str">
        <f>_TN10</f>
        <v>MRNoSec_2048P</v>
      </c>
      <c r="BS33" s="30"/>
      <c r="BT33" s="30"/>
      <c r="BW33" s="30"/>
      <c r="BX33" s="100" t="s">
        <v>243</v>
      </c>
      <c r="BY33" s="101" t="str">
        <f>_TN11</f>
        <v>MRNoSec_2048D</v>
      </c>
      <c r="BZ33" s="30"/>
      <c r="CA33" s="30"/>
      <c r="CD33" s="30"/>
      <c r="CE33" s="100" t="s">
        <v>243</v>
      </c>
      <c r="CF33" s="101" t="str">
        <f>_TN12</f>
        <v>MRNoSec_2048N</v>
      </c>
      <c r="CG33" s="30"/>
      <c r="CH33" s="30"/>
      <c r="CK33" s="30"/>
      <c r="CL33" s="100" t="s">
        <v>243</v>
      </c>
      <c r="CM33" s="101">
        <f>_TN13</f>
        <v>0</v>
      </c>
      <c r="CN33" s="30"/>
      <c r="CO33" s="30"/>
      <c r="CR33" s="30"/>
      <c r="CS33" s="100" t="s">
        <v>243</v>
      </c>
      <c r="CT33" s="101">
        <f>_TN14</f>
        <v>0</v>
      </c>
      <c r="CU33" s="30"/>
      <c r="CV33" s="30"/>
      <c r="CY33" s="30"/>
      <c r="CZ33" s="100" t="s">
        <v>243</v>
      </c>
      <c r="DA33" s="101">
        <f>_TN15</f>
        <v>0</v>
      </c>
      <c r="DB33" s="30"/>
      <c r="DC33" s="30"/>
      <c r="DF33" s="30"/>
      <c r="DG33" s="100" t="s">
        <v>243</v>
      </c>
      <c r="DH33" s="101">
        <f>_TN16</f>
        <v>0</v>
      </c>
      <c r="DI33" s="30"/>
      <c r="DJ33" s="30"/>
      <c r="DM33" s="30"/>
      <c r="DN33" s="100" t="s">
        <v>243</v>
      </c>
      <c r="DO33" s="101">
        <f>_TN17</f>
        <v>0</v>
      </c>
      <c r="DP33" s="30"/>
      <c r="DQ33" s="30"/>
      <c r="DT33" s="30"/>
      <c r="DU33" s="100" t="s">
        <v>243</v>
      </c>
      <c r="DV33" s="101">
        <f>_TN18</f>
        <v>0</v>
      </c>
      <c r="DW33" s="30"/>
      <c r="DX33" s="30"/>
      <c r="EA33" s="30"/>
      <c r="EB33" s="100" t="s">
        <v>243</v>
      </c>
      <c r="EC33" s="101">
        <f>_TN19</f>
        <v>0</v>
      </c>
      <c r="ED33" s="30"/>
      <c r="EE33" s="30"/>
      <c r="EH33" s="30"/>
      <c r="EI33" s="100" t="s">
        <v>243</v>
      </c>
      <c r="EJ33" s="101">
        <f>_TN20</f>
        <v>0</v>
      </c>
      <c r="EK33" s="30"/>
      <c r="EL33" s="30"/>
      <c r="EO33" s="30"/>
      <c r="EP33" s="100" t="s">
        <v>243</v>
      </c>
      <c r="EQ33" s="101">
        <f>_TN21</f>
        <v>0</v>
      </c>
      <c r="ER33" s="30"/>
      <c r="ES33" s="30"/>
      <c r="EV33" s="30"/>
      <c r="EW33" s="100" t="s">
        <v>243</v>
      </c>
      <c r="EX33" s="101">
        <f>_TN22</f>
        <v>0</v>
      </c>
      <c r="EY33" s="30"/>
      <c r="EZ33" s="30"/>
      <c r="FC33" s="30"/>
      <c r="FD33" s="100" t="s">
        <v>243</v>
      </c>
      <c r="FE33" s="101">
        <f>_TN23</f>
        <v>0</v>
      </c>
      <c r="FF33" s="30"/>
      <c r="FG33" s="30"/>
      <c r="FJ33" s="30"/>
      <c r="FK33" s="100" t="s">
        <v>243</v>
      </c>
      <c r="FL33" s="101">
        <f>_TN24</f>
        <v>0</v>
      </c>
      <c r="FM33" s="30"/>
      <c r="FN33" s="30"/>
      <c r="FQ33" s="30"/>
      <c r="FR33" s="100" t="s">
        <v>243</v>
      </c>
      <c r="FS33" s="101">
        <f>_TN25</f>
        <v>0</v>
      </c>
      <c r="FT33" s="30"/>
      <c r="FU33" s="30"/>
      <c r="FX33" s="30"/>
      <c r="FY33" s="100" t="s">
        <v>243</v>
      </c>
      <c r="FZ33" s="101">
        <f>_TN26</f>
        <v>0</v>
      </c>
      <c r="GA33" s="30"/>
      <c r="GB33" s="30"/>
      <c r="GE33" s="30"/>
      <c r="GF33" s="100" t="s">
        <v>243</v>
      </c>
      <c r="GG33" s="101">
        <f>_TN27</f>
        <v>0</v>
      </c>
      <c r="GH33" s="30"/>
      <c r="GI33" s="30"/>
      <c r="GL33" s="30"/>
      <c r="GM33" s="100" t="s">
        <v>243</v>
      </c>
      <c r="GN33" s="101">
        <f>_TN28</f>
        <v>0</v>
      </c>
      <c r="GO33" s="30"/>
      <c r="GP33" s="30"/>
      <c r="GS33" s="30"/>
      <c r="GT33" s="100" t="s">
        <v>243</v>
      </c>
      <c r="GU33" s="101">
        <f>_TN29</f>
        <v>0</v>
      </c>
      <c r="GV33" s="30"/>
      <c r="GW33" s="30"/>
      <c r="GZ33" s="30"/>
      <c r="HA33" s="100" t="s">
        <v>243</v>
      </c>
      <c r="HB33" s="101">
        <f>_TN30</f>
        <v>0</v>
      </c>
      <c r="HC33" s="30"/>
      <c r="HD33" s="30"/>
      <c r="HG33" s="30"/>
      <c r="HH33" s="100" t="s">
        <v>243</v>
      </c>
      <c r="HI33" s="101">
        <f>_TN31</f>
        <v>0</v>
      </c>
      <c r="HJ33" s="30"/>
      <c r="HK33" s="30"/>
      <c r="HN33" s="30"/>
      <c r="HO33" s="100" t="s">
        <v>243</v>
      </c>
      <c r="HP33" s="101">
        <f>_TN32</f>
        <v>0</v>
      </c>
      <c r="HQ33" s="30"/>
      <c r="HR33" s="30"/>
      <c r="HU33" s="30"/>
      <c r="HV33" s="100" t="s">
        <v>243</v>
      </c>
      <c r="HW33" s="101">
        <f>_TN33</f>
        <v>0</v>
      </c>
      <c r="HX33" s="30"/>
      <c r="HY33" s="30"/>
      <c r="IB33" s="30"/>
      <c r="IC33" s="100" t="s">
        <v>243</v>
      </c>
      <c r="ID33" s="101">
        <f>_TN34</f>
        <v>0</v>
      </c>
      <c r="IE33" s="30"/>
      <c r="IF33" s="30"/>
      <c r="II33" s="30"/>
      <c r="IJ33" s="100" t="s">
        <v>243</v>
      </c>
      <c r="IK33" s="101">
        <f>_TN35</f>
        <v>0</v>
      </c>
      <c r="IL33" s="30"/>
      <c r="IM33" s="30"/>
      <c r="IP33" s="30"/>
      <c r="IQ33" s="100" t="s">
        <v>243</v>
      </c>
      <c r="IR33" s="101">
        <f>_TN36</f>
        <v>0</v>
      </c>
      <c r="IS33" s="30"/>
      <c r="IT33" s="30"/>
    </row>
    <row r="34" spans="4:254" x14ac:dyDescent="0.2">
      <c r="D34" s="51" t="s">
        <v>244</v>
      </c>
      <c r="E34" s="51" t="s">
        <v>245</v>
      </c>
      <c r="F34" s="51" t="s">
        <v>246</v>
      </c>
      <c r="G34" s="51" t="s">
        <v>244</v>
      </c>
      <c r="H34" s="51" t="s">
        <v>245</v>
      </c>
      <c r="I34" s="51" t="s">
        <v>246</v>
      </c>
      <c r="K34" s="51" t="s">
        <v>244</v>
      </c>
      <c r="L34" s="51" t="s">
        <v>245</v>
      </c>
      <c r="M34" s="51" t="s">
        <v>246</v>
      </c>
      <c r="N34" s="51" t="s">
        <v>244</v>
      </c>
      <c r="O34" s="51" t="s">
        <v>245</v>
      </c>
      <c r="P34" s="51" t="s">
        <v>246</v>
      </c>
      <c r="R34" s="51" t="s">
        <v>244</v>
      </c>
      <c r="S34" s="51" t="s">
        <v>245</v>
      </c>
      <c r="T34" s="51" t="s">
        <v>246</v>
      </c>
      <c r="U34" s="51" t="s">
        <v>244</v>
      </c>
      <c r="V34" s="51" t="s">
        <v>245</v>
      </c>
      <c r="W34" s="51" t="s">
        <v>246</v>
      </c>
      <c r="Y34" s="51" t="s">
        <v>244</v>
      </c>
      <c r="Z34" s="51" t="s">
        <v>245</v>
      </c>
      <c r="AA34" s="51" t="s">
        <v>246</v>
      </c>
      <c r="AB34" s="51" t="s">
        <v>244</v>
      </c>
      <c r="AC34" s="51" t="s">
        <v>245</v>
      </c>
      <c r="AD34" s="51" t="s">
        <v>246</v>
      </c>
      <c r="AF34" s="51" t="s">
        <v>244</v>
      </c>
      <c r="AG34" s="51" t="s">
        <v>245</v>
      </c>
      <c r="AH34" s="51" t="s">
        <v>246</v>
      </c>
      <c r="AI34" s="51" t="s">
        <v>244</v>
      </c>
      <c r="AJ34" s="51" t="s">
        <v>245</v>
      </c>
      <c r="AK34" s="51" t="s">
        <v>246</v>
      </c>
      <c r="AM34" s="51" t="s">
        <v>244</v>
      </c>
      <c r="AN34" s="51" t="s">
        <v>245</v>
      </c>
      <c r="AO34" s="51" t="s">
        <v>246</v>
      </c>
      <c r="AP34" s="51" t="s">
        <v>244</v>
      </c>
      <c r="AQ34" s="51" t="s">
        <v>245</v>
      </c>
      <c r="AR34" s="51" t="s">
        <v>246</v>
      </c>
      <c r="AT34" s="51" t="s">
        <v>244</v>
      </c>
      <c r="AU34" s="51" t="s">
        <v>245</v>
      </c>
      <c r="AV34" s="51" t="s">
        <v>246</v>
      </c>
      <c r="AW34" s="51" t="s">
        <v>244</v>
      </c>
      <c r="AX34" s="51" t="s">
        <v>245</v>
      </c>
      <c r="AY34" s="51" t="s">
        <v>246</v>
      </c>
      <c r="BA34" s="51" t="s">
        <v>244</v>
      </c>
      <c r="BB34" s="51" t="s">
        <v>245</v>
      </c>
      <c r="BC34" s="51" t="s">
        <v>246</v>
      </c>
      <c r="BD34" s="51" t="s">
        <v>244</v>
      </c>
      <c r="BE34" s="51" t="s">
        <v>245</v>
      </c>
      <c r="BF34" s="51" t="s">
        <v>246</v>
      </c>
      <c r="BH34" s="51" t="s">
        <v>244</v>
      </c>
      <c r="BI34" s="51" t="s">
        <v>245</v>
      </c>
      <c r="BJ34" s="51" t="s">
        <v>246</v>
      </c>
      <c r="BK34" s="51" t="s">
        <v>244</v>
      </c>
      <c r="BL34" s="51" t="s">
        <v>245</v>
      </c>
      <c r="BM34" s="51" t="s">
        <v>246</v>
      </c>
      <c r="BO34" s="51" t="s">
        <v>244</v>
      </c>
      <c r="BP34" s="51" t="s">
        <v>245</v>
      </c>
      <c r="BQ34" s="51" t="s">
        <v>246</v>
      </c>
      <c r="BR34" s="51" t="s">
        <v>244</v>
      </c>
      <c r="BS34" s="51" t="s">
        <v>245</v>
      </c>
      <c r="BT34" s="51" t="s">
        <v>246</v>
      </c>
      <c r="BV34" s="51" t="s">
        <v>244</v>
      </c>
      <c r="BW34" s="51" t="s">
        <v>245</v>
      </c>
      <c r="BX34" s="51" t="s">
        <v>246</v>
      </c>
      <c r="BY34" s="51" t="s">
        <v>244</v>
      </c>
      <c r="BZ34" s="51" t="s">
        <v>245</v>
      </c>
      <c r="CA34" s="51" t="s">
        <v>246</v>
      </c>
      <c r="CC34" s="51" t="s">
        <v>244</v>
      </c>
      <c r="CD34" s="51" t="s">
        <v>245</v>
      </c>
      <c r="CE34" s="51" t="s">
        <v>246</v>
      </c>
      <c r="CF34" s="51" t="s">
        <v>244</v>
      </c>
      <c r="CG34" s="51" t="s">
        <v>245</v>
      </c>
      <c r="CH34" s="51" t="s">
        <v>246</v>
      </c>
      <c r="CJ34" s="51" t="s">
        <v>244</v>
      </c>
      <c r="CK34" s="51" t="s">
        <v>245</v>
      </c>
      <c r="CL34" s="51" t="s">
        <v>246</v>
      </c>
      <c r="CM34" s="51" t="s">
        <v>244</v>
      </c>
      <c r="CN34" s="51" t="s">
        <v>245</v>
      </c>
      <c r="CO34" s="51" t="s">
        <v>246</v>
      </c>
      <c r="CQ34" s="51" t="s">
        <v>244</v>
      </c>
      <c r="CR34" s="51" t="s">
        <v>245</v>
      </c>
      <c r="CS34" s="51" t="s">
        <v>246</v>
      </c>
      <c r="CT34" s="51" t="s">
        <v>244</v>
      </c>
      <c r="CU34" s="51" t="s">
        <v>245</v>
      </c>
      <c r="CV34" s="51" t="s">
        <v>246</v>
      </c>
      <c r="CX34" s="51" t="s">
        <v>244</v>
      </c>
      <c r="CY34" s="51" t="s">
        <v>245</v>
      </c>
      <c r="CZ34" s="51" t="s">
        <v>246</v>
      </c>
      <c r="DA34" s="51" t="s">
        <v>244</v>
      </c>
      <c r="DB34" s="51" t="s">
        <v>245</v>
      </c>
      <c r="DC34" s="51" t="s">
        <v>246</v>
      </c>
      <c r="DE34" s="51" t="s">
        <v>244</v>
      </c>
      <c r="DF34" s="51" t="s">
        <v>245</v>
      </c>
      <c r="DG34" s="51" t="s">
        <v>246</v>
      </c>
      <c r="DH34" s="51" t="s">
        <v>244</v>
      </c>
      <c r="DI34" s="51" t="s">
        <v>245</v>
      </c>
      <c r="DJ34" s="51" t="s">
        <v>246</v>
      </c>
      <c r="DL34" s="51" t="s">
        <v>244</v>
      </c>
      <c r="DM34" s="51" t="s">
        <v>245</v>
      </c>
      <c r="DN34" s="51" t="s">
        <v>246</v>
      </c>
      <c r="DO34" s="51" t="s">
        <v>244</v>
      </c>
      <c r="DP34" s="51" t="s">
        <v>245</v>
      </c>
      <c r="DQ34" s="51" t="s">
        <v>246</v>
      </c>
      <c r="DS34" s="51" t="s">
        <v>244</v>
      </c>
      <c r="DT34" s="51" t="s">
        <v>245</v>
      </c>
      <c r="DU34" s="51" t="s">
        <v>246</v>
      </c>
      <c r="DV34" s="51" t="s">
        <v>244</v>
      </c>
      <c r="DW34" s="51" t="s">
        <v>245</v>
      </c>
      <c r="DX34" s="51" t="s">
        <v>246</v>
      </c>
      <c r="DZ34" s="51" t="s">
        <v>244</v>
      </c>
      <c r="EA34" s="51" t="s">
        <v>245</v>
      </c>
      <c r="EB34" s="51" t="s">
        <v>246</v>
      </c>
      <c r="EC34" s="51" t="s">
        <v>244</v>
      </c>
      <c r="ED34" s="51" t="s">
        <v>245</v>
      </c>
      <c r="EE34" s="51" t="s">
        <v>246</v>
      </c>
      <c r="EG34" s="51" t="s">
        <v>244</v>
      </c>
      <c r="EH34" s="51" t="s">
        <v>245</v>
      </c>
      <c r="EI34" s="51" t="s">
        <v>246</v>
      </c>
      <c r="EJ34" s="51" t="s">
        <v>244</v>
      </c>
      <c r="EK34" s="51" t="s">
        <v>245</v>
      </c>
      <c r="EL34" s="51" t="s">
        <v>246</v>
      </c>
      <c r="EN34" s="51" t="s">
        <v>244</v>
      </c>
      <c r="EO34" s="51" t="s">
        <v>245</v>
      </c>
      <c r="EP34" s="51" t="s">
        <v>246</v>
      </c>
      <c r="EQ34" s="51" t="s">
        <v>244</v>
      </c>
      <c r="ER34" s="51" t="s">
        <v>245</v>
      </c>
      <c r="ES34" s="51" t="s">
        <v>246</v>
      </c>
      <c r="EU34" s="51" t="s">
        <v>244</v>
      </c>
      <c r="EV34" s="51" t="s">
        <v>245</v>
      </c>
      <c r="EW34" s="51" t="s">
        <v>246</v>
      </c>
      <c r="EX34" s="51" t="s">
        <v>244</v>
      </c>
      <c r="EY34" s="51" t="s">
        <v>245</v>
      </c>
      <c r="EZ34" s="51" t="s">
        <v>246</v>
      </c>
      <c r="FB34" s="51" t="s">
        <v>244</v>
      </c>
      <c r="FC34" s="51" t="s">
        <v>245</v>
      </c>
      <c r="FD34" s="51" t="s">
        <v>246</v>
      </c>
      <c r="FE34" s="51" t="s">
        <v>244</v>
      </c>
      <c r="FF34" s="51" t="s">
        <v>245</v>
      </c>
      <c r="FG34" s="51" t="s">
        <v>246</v>
      </c>
      <c r="FI34" s="51" t="s">
        <v>244</v>
      </c>
      <c r="FJ34" s="51" t="s">
        <v>245</v>
      </c>
      <c r="FK34" s="51" t="s">
        <v>246</v>
      </c>
      <c r="FL34" s="51" t="s">
        <v>244</v>
      </c>
      <c r="FM34" s="51" t="s">
        <v>245</v>
      </c>
      <c r="FN34" s="51" t="s">
        <v>246</v>
      </c>
      <c r="FP34" s="51" t="s">
        <v>244</v>
      </c>
      <c r="FQ34" s="51" t="s">
        <v>245</v>
      </c>
      <c r="FR34" s="51" t="s">
        <v>246</v>
      </c>
      <c r="FS34" s="51" t="s">
        <v>244</v>
      </c>
      <c r="FT34" s="51" t="s">
        <v>245</v>
      </c>
      <c r="FU34" s="51" t="s">
        <v>246</v>
      </c>
      <c r="FW34" s="51" t="s">
        <v>244</v>
      </c>
      <c r="FX34" s="51" t="s">
        <v>245</v>
      </c>
      <c r="FY34" s="51" t="s">
        <v>246</v>
      </c>
      <c r="FZ34" s="51" t="s">
        <v>244</v>
      </c>
      <c r="GA34" s="51" t="s">
        <v>245</v>
      </c>
      <c r="GB34" s="51" t="s">
        <v>246</v>
      </c>
      <c r="GD34" s="51" t="s">
        <v>244</v>
      </c>
      <c r="GE34" s="51" t="s">
        <v>245</v>
      </c>
      <c r="GF34" s="51" t="s">
        <v>246</v>
      </c>
      <c r="GG34" s="51" t="s">
        <v>244</v>
      </c>
      <c r="GH34" s="51" t="s">
        <v>245</v>
      </c>
      <c r="GI34" s="51" t="s">
        <v>246</v>
      </c>
      <c r="GK34" s="51" t="s">
        <v>244</v>
      </c>
      <c r="GL34" s="51" t="s">
        <v>245</v>
      </c>
      <c r="GM34" s="51" t="s">
        <v>246</v>
      </c>
      <c r="GN34" s="51" t="s">
        <v>244</v>
      </c>
      <c r="GO34" s="51" t="s">
        <v>245</v>
      </c>
      <c r="GP34" s="51" t="s">
        <v>246</v>
      </c>
      <c r="GR34" s="51" t="s">
        <v>244</v>
      </c>
      <c r="GS34" s="51" t="s">
        <v>245</v>
      </c>
      <c r="GT34" s="51" t="s">
        <v>246</v>
      </c>
      <c r="GU34" s="51" t="s">
        <v>244</v>
      </c>
      <c r="GV34" s="51" t="s">
        <v>245</v>
      </c>
      <c r="GW34" s="51" t="s">
        <v>246</v>
      </c>
      <c r="GY34" s="51" t="s">
        <v>244</v>
      </c>
      <c r="GZ34" s="51" t="s">
        <v>245</v>
      </c>
      <c r="HA34" s="51" t="s">
        <v>246</v>
      </c>
      <c r="HB34" s="51" t="s">
        <v>244</v>
      </c>
      <c r="HC34" s="51" t="s">
        <v>245</v>
      </c>
      <c r="HD34" s="51" t="s">
        <v>246</v>
      </c>
      <c r="HF34" s="51" t="s">
        <v>244</v>
      </c>
      <c r="HG34" s="51" t="s">
        <v>245</v>
      </c>
      <c r="HH34" s="51" t="s">
        <v>246</v>
      </c>
      <c r="HI34" s="51" t="s">
        <v>244</v>
      </c>
      <c r="HJ34" s="51" t="s">
        <v>245</v>
      </c>
      <c r="HK34" s="51" t="s">
        <v>246</v>
      </c>
      <c r="HM34" s="51" t="s">
        <v>244</v>
      </c>
      <c r="HN34" s="51" t="s">
        <v>245</v>
      </c>
      <c r="HO34" s="51" t="s">
        <v>246</v>
      </c>
      <c r="HP34" s="51" t="s">
        <v>244</v>
      </c>
      <c r="HQ34" s="51" t="s">
        <v>245</v>
      </c>
      <c r="HR34" s="51" t="s">
        <v>246</v>
      </c>
      <c r="HT34" s="51" t="s">
        <v>244</v>
      </c>
      <c r="HU34" s="51" t="s">
        <v>245</v>
      </c>
      <c r="HV34" s="51" t="s">
        <v>246</v>
      </c>
      <c r="HW34" s="51" t="s">
        <v>244</v>
      </c>
      <c r="HX34" s="51" t="s">
        <v>245</v>
      </c>
      <c r="HY34" s="51" t="s">
        <v>246</v>
      </c>
      <c r="IA34" s="51" t="s">
        <v>244</v>
      </c>
      <c r="IB34" s="51" t="s">
        <v>245</v>
      </c>
      <c r="IC34" s="51" t="s">
        <v>246</v>
      </c>
      <c r="ID34" s="51" t="s">
        <v>244</v>
      </c>
      <c r="IE34" s="51" t="s">
        <v>245</v>
      </c>
      <c r="IF34" s="51" t="s">
        <v>246</v>
      </c>
      <c r="IH34" s="51" t="s">
        <v>244</v>
      </c>
      <c r="II34" s="51" t="s">
        <v>245</v>
      </c>
      <c r="IJ34" s="51" t="s">
        <v>246</v>
      </c>
      <c r="IK34" s="51" t="s">
        <v>244</v>
      </c>
      <c r="IL34" s="51" t="s">
        <v>245</v>
      </c>
      <c r="IM34" s="51" t="s">
        <v>246</v>
      </c>
      <c r="IO34" s="51" t="s">
        <v>244</v>
      </c>
      <c r="IP34" s="51" t="s">
        <v>245</v>
      </c>
      <c r="IQ34" s="51" t="s">
        <v>246</v>
      </c>
      <c r="IR34" s="51" t="s">
        <v>244</v>
      </c>
      <c r="IS34" s="51" t="s">
        <v>245</v>
      </c>
      <c r="IT34" s="51" t="s">
        <v>246</v>
      </c>
    </row>
    <row r="35" spans="4:254" x14ac:dyDescent="0.2">
      <c r="D35" s="69">
        <f>TRFdata!C88</f>
        <v>357980</v>
      </c>
      <c r="E35" s="102">
        <v>1</v>
      </c>
      <c r="F35" s="102">
        <v>1</v>
      </c>
      <c r="G35" s="69">
        <f>TRFdata!C93</f>
        <v>730035</v>
      </c>
      <c r="H35" s="102">
        <v>2</v>
      </c>
      <c r="I35" s="102">
        <v>1</v>
      </c>
      <c r="K35" s="69">
        <f>TRFdata!D88</f>
        <v>164252</v>
      </c>
      <c r="L35" s="102">
        <v>1</v>
      </c>
      <c r="M35" s="102">
        <v>1</v>
      </c>
      <c r="N35" s="69">
        <f>TRFdata!D93</f>
        <v>705221</v>
      </c>
      <c r="O35" s="102">
        <v>2</v>
      </c>
      <c r="P35" s="102">
        <v>1</v>
      </c>
      <c r="R35" s="69">
        <f>TRFdata!E88</f>
        <v>764072</v>
      </c>
      <c r="S35" s="102">
        <v>1</v>
      </c>
      <c r="T35" s="102">
        <v>1</v>
      </c>
      <c r="U35" s="69">
        <f>TRFdata!E93</f>
        <v>432069</v>
      </c>
      <c r="V35" s="102">
        <v>2</v>
      </c>
      <c r="W35" s="102">
        <v>1</v>
      </c>
      <c r="Y35" s="69">
        <f>TRFdata!F88</f>
        <v>397344</v>
      </c>
      <c r="Z35" s="102">
        <v>1</v>
      </c>
      <c r="AA35" s="102">
        <v>1</v>
      </c>
      <c r="AB35" s="69">
        <f>TRFdata!F93</f>
        <v>21817</v>
      </c>
      <c r="AC35" s="102">
        <v>2</v>
      </c>
      <c r="AD35" s="102">
        <v>1</v>
      </c>
      <c r="AF35" s="69">
        <f>TRFdata!G88</f>
        <v>110551</v>
      </c>
      <c r="AG35" s="102">
        <v>1</v>
      </c>
      <c r="AH35" s="102">
        <v>1</v>
      </c>
      <c r="AI35" s="69">
        <f>TRFdata!G93</f>
        <v>765949</v>
      </c>
      <c r="AJ35" s="102">
        <v>2</v>
      </c>
      <c r="AK35" s="102">
        <v>1</v>
      </c>
      <c r="AM35" s="69">
        <f>TRFdata!H88</f>
        <v>95395</v>
      </c>
      <c r="AN35" s="102">
        <v>1</v>
      </c>
      <c r="AO35" s="102">
        <v>1</v>
      </c>
      <c r="AP35" s="69">
        <f>TRFdata!H93</f>
        <v>695279</v>
      </c>
      <c r="AQ35" s="102">
        <v>2</v>
      </c>
      <c r="AR35" s="102">
        <v>1</v>
      </c>
      <c r="AT35" s="69">
        <f>TRFdata!I88</f>
        <v>789088</v>
      </c>
      <c r="AU35" s="102">
        <v>1</v>
      </c>
      <c r="AV35" s="102">
        <v>1</v>
      </c>
      <c r="AW35" s="69">
        <f>TRFdata!I93</f>
        <v>669236</v>
      </c>
      <c r="AX35" s="102">
        <v>2</v>
      </c>
      <c r="AY35" s="102">
        <v>1</v>
      </c>
      <c r="BA35" s="69">
        <f>TRFdata!J88</f>
        <v>444685</v>
      </c>
      <c r="BB35" s="102">
        <v>1</v>
      </c>
      <c r="BC35" s="102">
        <v>1</v>
      </c>
      <c r="BD35" s="69">
        <f>TRFdata!J93</f>
        <v>753869</v>
      </c>
      <c r="BE35" s="102">
        <v>2</v>
      </c>
      <c r="BF35" s="102">
        <v>1</v>
      </c>
      <c r="BH35" s="69">
        <f>TRFdata!K88</f>
        <v>258313</v>
      </c>
      <c r="BI35" s="102">
        <v>1</v>
      </c>
      <c r="BJ35" s="102">
        <v>1</v>
      </c>
      <c r="BK35" s="69">
        <f>TRFdata!K93</f>
        <v>2008</v>
      </c>
      <c r="BL35" s="102">
        <v>2</v>
      </c>
      <c r="BM35" s="102">
        <v>1</v>
      </c>
      <c r="BO35" s="69">
        <f>TRFdata!L88</f>
        <v>930522</v>
      </c>
      <c r="BP35" s="102">
        <v>1</v>
      </c>
      <c r="BQ35" s="102">
        <v>1</v>
      </c>
      <c r="BR35" s="69">
        <f>TRFdata!L93</f>
        <v>634419</v>
      </c>
      <c r="BS35" s="102">
        <v>2</v>
      </c>
      <c r="BT35" s="102">
        <v>1</v>
      </c>
      <c r="BV35" s="69">
        <f>TRFdata!M88</f>
        <v>118920</v>
      </c>
      <c r="BW35" s="102">
        <v>1</v>
      </c>
      <c r="BX35" s="102">
        <v>1</v>
      </c>
      <c r="BY35" s="69">
        <f>TRFdata!M93</f>
        <v>410838</v>
      </c>
      <c r="BZ35" s="102">
        <v>2</v>
      </c>
      <c r="CA35" s="102">
        <v>1</v>
      </c>
      <c r="CC35" s="69">
        <f>TRFdata!N88</f>
        <v>908783</v>
      </c>
      <c r="CD35" s="102">
        <v>1</v>
      </c>
      <c r="CE35" s="102">
        <v>1</v>
      </c>
      <c r="CF35" s="69">
        <f>TRFdata!N93</f>
        <v>171911</v>
      </c>
      <c r="CG35" s="102">
        <v>2</v>
      </c>
      <c r="CH35" s="102">
        <v>1</v>
      </c>
      <c r="CJ35" s="102"/>
      <c r="CK35" s="102">
        <v>1</v>
      </c>
      <c r="CL35" s="102">
        <v>1</v>
      </c>
      <c r="CM35" s="102"/>
      <c r="CN35" s="102">
        <v>2</v>
      </c>
      <c r="CO35" s="102">
        <v>1</v>
      </c>
      <c r="CQ35" s="102"/>
      <c r="CR35" s="102">
        <v>1</v>
      </c>
      <c r="CS35" s="102">
        <v>1</v>
      </c>
      <c r="CT35" s="102"/>
      <c r="CU35" s="102">
        <v>2</v>
      </c>
      <c r="CV35" s="102">
        <v>1</v>
      </c>
      <c r="CX35" s="102"/>
      <c r="CY35" s="102">
        <v>1</v>
      </c>
      <c r="CZ35" s="102">
        <v>1</v>
      </c>
      <c r="DA35" s="102"/>
      <c r="DB35" s="102">
        <v>2</v>
      </c>
      <c r="DC35" s="102">
        <v>1</v>
      </c>
      <c r="DE35" s="102"/>
      <c r="DF35" s="102">
        <v>1</v>
      </c>
      <c r="DG35" s="102">
        <v>1</v>
      </c>
      <c r="DH35" s="102"/>
      <c r="DI35" s="102">
        <v>2</v>
      </c>
      <c r="DJ35" s="102">
        <v>1</v>
      </c>
      <c r="DL35" s="102"/>
      <c r="DM35" s="102">
        <v>1</v>
      </c>
      <c r="DN35" s="102">
        <v>1</v>
      </c>
      <c r="DO35" s="102"/>
      <c r="DP35" s="102">
        <v>2</v>
      </c>
      <c r="DQ35" s="102">
        <v>1</v>
      </c>
      <c r="DS35" s="102"/>
      <c r="DT35" s="102">
        <v>1</v>
      </c>
      <c r="DU35" s="102">
        <v>1</v>
      </c>
      <c r="DV35" s="102"/>
      <c r="DW35" s="102">
        <v>2</v>
      </c>
      <c r="DX35" s="102">
        <v>1</v>
      </c>
      <c r="DZ35" s="102"/>
      <c r="EA35" s="102">
        <v>1</v>
      </c>
      <c r="EB35" s="102">
        <v>1</v>
      </c>
      <c r="EC35" s="102"/>
      <c r="ED35" s="102">
        <v>2</v>
      </c>
      <c r="EE35" s="102">
        <v>1</v>
      </c>
      <c r="EG35" s="102"/>
      <c r="EH35" s="102">
        <v>1</v>
      </c>
      <c r="EI35" s="102">
        <v>1</v>
      </c>
      <c r="EJ35" s="102"/>
      <c r="EK35" s="102">
        <v>2</v>
      </c>
      <c r="EL35" s="102">
        <v>1</v>
      </c>
      <c r="EN35" s="102"/>
      <c r="EO35" s="102">
        <v>1</v>
      </c>
      <c r="EP35" s="102">
        <v>1</v>
      </c>
      <c r="EQ35" s="102"/>
      <c r="ER35" s="102">
        <v>2</v>
      </c>
      <c r="ES35" s="102">
        <v>1</v>
      </c>
      <c r="EU35" s="102"/>
      <c r="EV35" s="102">
        <v>1</v>
      </c>
      <c r="EW35" s="102">
        <v>1</v>
      </c>
      <c r="EX35" s="102"/>
      <c r="EY35" s="102">
        <v>2</v>
      </c>
      <c r="EZ35" s="102">
        <v>1</v>
      </c>
      <c r="FB35" s="102"/>
      <c r="FC35" s="102">
        <v>1</v>
      </c>
      <c r="FD35" s="102">
        <v>1</v>
      </c>
      <c r="FE35" s="102"/>
      <c r="FF35" s="102">
        <v>2</v>
      </c>
      <c r="FG35" s="102">
        <v>1</v>
      </c>
      <c r="FI35" s="102"/>
      <c r="FJ35" s="102">
        <v>1</v>
      </c>
      <c r="FK35" s="102">
        <v>1</v>
      </c>
      <c r="FL35" s="102"/>
      <c r="FM35" s="102">
        <v>2</v>
      </c>
      <c r="FN35" s="102">
        <v>1</v>
      </c>
      <c r="FP35" s="102"/>
      <c r="FQ35" s="102">
        <v>1</v>
      </c>
      <c r="FR35" s="102">
        <v>1</v>
      </c>
      <c r="FS35" s="102"/>
      <c r="FT35" s="102">
        <v>2</v>
      </c>
      <c r="FU35" s="102">
        <v>1</v>
      </c>
      <c r="FW35" s="102"/>
      <c r="FX35" s="102">
        <v>1</v>
      </c>
      <c r="FY35" s="102">
        <v>1</v>
      </c>
      <c r="FZ35" s="102"/>
      <c r="GA35" s="102">
        <v>2</v>
      </c>
      <c r="GB35" s="102">
        <v>1</v>
      </c>
      <c r="GD35" s="102"/>
      <c r="GE35" s="102">
        <v>1</v>
      </c>
      <c r="GF35" s="102">
        <v>1</v>
      </c>
      <c r="GG35" s="102"/>
      <c r="GH35" s="102">
        <v>2</v>
      </c>
      <c r="GI35" s="102">
        <v>1</v>
      </c>
      <c r="GK35" s="102"/>
      <c r="GL35" s="102">
        <v>1</v>
      </c>
      <c r="GM35" s="102">
        <v>1</v>
      </c>
      <c r="GN35" s="102"/>
      <c r="GO35" s="102">
        <v>2</v>
      </c>
      <c r="GP35" s="102">
        <v>1</v>
      </c>
      <c r="GR35" s="102"/>
      <c r="GS35" s="102">
        <v>1</v>
      </c>
      <c r="GT35" s="102">
        <v>1</v>
      </c>
      <c r="GU35" s="102"/>
      <c r="GV35" s="102">
        <v>2</v>
      </c>
      <c r="GW35" s="102">
        <v>1</v>
      </c>
      <c r="GY35" s="102"/>
      <c r="GZ35" s="102">
        <v>1</v>
      </c>
      <c r="HA35" s="102">
        <v>1</v>
      </c>
      <c r="HB35" s="102"/>
      <c r="HC35" s="102">
        <v>2</v>
      </c>
      <c r="HD35" s="102">
        <v>1</v>
      </c>
      <c r="HF35" s="102"/>
      <c r="HG35" s="102">
        <v>1</v>
      </c>
      <c r="HH35" s="102">
        <v>1</v>
      </c>
      <c r="HI35" s="102"/>
      <c r="HJ35" s="102">
        <v>2</v>
      </c>
      <c r="HK35" s="102">
        <v>1</v>
      </c>
      <c r="HM35" s="102"/>
      <c r="HN35" s="102">
        <v>1</v>
      </c>
      <c r="HO35" s="102">
        <v>1</v>
      </c>
      <c r="HP35" s="102"/>
      <c r="HQ35" s="102">
        <v>2</v>
      </c>
      <c r="HR35" s="102">
        <v>1</v>
      </c>
      <c r="HT35" s="102"/>
      <c r="HU35" s="102">
        <v>1</v>
      </c>
      <c r="HV35" s="102">
        <v>1</v>
      </c>
      <c r="HW35" s="102"/>
      <c r="HX35" s="102">
        <v>2</v>
      </c>
      <c r="HY35" s="102">
        <v>1</v>
      </c>
      <c r="IA35" s="102"/>
      <c r="IB35" s="102">
        <v>1</v>
      </c>
      <c r="IC35" s="102">
        <v>1</v>
      </c>
      <c r="ID35" s="102"/>
      <c r="IE35" s="102">
        <v>2</v>
      </c>
      <c r="IF35" s="102">
        <v>1</v>
      </c>
      <c r="IH35" s="102"/>
      <c r="II35" s="102">
        <v>1</v>
      </c>
      <c r="IJ35" s="102">
        <v>1</v>
      </c>
      <c r="IK35" s="102"/>
      <c r="IL35" s="102">
        <v>2</v>
      </c>
      <c r="IM35" s="102">
        <v>1</v>
      </c>
      <c r="IO35" s="102"/>
      <c r="IP35" s="102">
        <v>1</v>
      </c>
      <c r="IQ35" s="102">
        <v>1</v>
      </c>
      <c r="IR35" s="102"/>
      <c r="IS35" s="102">
        <v>2</v>
      </c>
      <c r="IT35" s="102">
        <v>1</v>
      </c>
    </row>
    <row r="36" spans="4:254" x14ac:dyDescent="0.2">
      <c r="D36" s="69">
        <f>TRFdata!C89</f>
        <v>933608</v>
      </c>
      <c r="E36" s="102">
        <v>3</v>
      </c>
      <c r="F36" s="102">
        <v>1</v>
      </c>
      <c r="G36" s="69">
        <f>TRFdata!C94</f>
        <v>499206</v>
      </c>
      <c r="H36" s="102">
        <v>4</v>
      </c>
      <c r="I36" s="102">
        <v>1</v>
      </c>
      <c r="K36" s="69">
        <f>TRFdata!D89</f>
        <v>420217</v>
      </c>
      <c r="L36" s="102">
        <v>3</v>
      </c>
      <c r="M36" s="102">
        <v>1</v>
      </c>
      <c r="N36" s="69">
        <f>TRFdata!D94</f>
        <v>907958</v>
      </c>
      <c r="O36" s="102">
        <v>4</v>
      </c>
      <c r="P36" s="102">
        <v>1</v>
      </c>
      <c r="R36" s="69">
        <f>TRFdata!E89</f>
        <v>316749</v>
      </c>
      <c r="S36" s="102">
        <v>3</v>
      </c>
      <c r="T36" s="102">
        <v>1</v>
      </c>
      <c r="U36" s="69">
        <f>TRFdata!E94</f>
        <v>408713</v>
      </c>
      <c r="V36" s="102">
        <v>4</v>
      </c>
      <c r="W36" s="102">
        <v>1</v>
      </c>
      <c r="Y36" s="69">
        <f>TRFdata!F89</f>
        <v>949788</v>
      </c>
      <c r="Z36" s="102">
        <v>3</v>
      </c>
      <c r="AA36" s="102">
        <v>1</v>
      </c>
      <c r="AB36" s="69">
        <f>TRFdata!F94</f>
        <v>181653</v>
      </c>
      <c r="AC36" s="102">
        <v>4</v>
      </c>
      <c r="AD36" s="102">
        <v>1</v>
      </c>
      <c r="AF36" s="69">
        <f>TRFdata!G89</f>
        <v>337832</v>
      </c>
      <c r="AG36" s="102">
        <v>3</v>
      </c>
      <c r="AH36" s="102">
        <v>1</v>
      </c>
      <c r="AI36" s="69">
        <f>TRFdata!G94</f>
        <v>580172</v>
      </c>
      <c r="AJ36" s="102">
        <v>4</v>
      </c>
      <c r="AK36" s="102">
        <v>1</v>
      </c>
      <c r="AM36" s="69">
        <f>TRFdata!H89</f>
        <v>742799</v>
      </c>
      <c r="AN36" s="102">
        <v>3</v>
      </c>
      <c r="AO36" s="102">
        <v>1</v>
      </c>
      <c r="AP36" s="69">
        <f>TRFdata!H94</f>
        <v>171605</v>
      </c>
      <c r="AQ36" s="102">
        <v>4</v>
      </c>
      <c r="AR36" s="102">
        <v>1</v>
      </c>
      <c r="AT36" s="69">
        <f>TRFdata!I89</f>
        <v>934696</v>
      </c>
      <c r="AU36" s="102">
        <v>3</v>
      </c>
      <c r="AV36" s="102">
        <v>1</v>
      </c>
      <c r="AW36" s="69">
        <f>TRFdata!I94</f>
        <v>380699</v>
      </c>
      <c r="AX36" s="102">
        <v>4</v>
      </c>
      <c r="AY36" s="102">
        <v>1</v>
      </c>
      <c r="BA36" s="69">
        <f>TRFdata!J89</f>
        <v>310799</v>
      </c>
      <c r="BB36" s="102">
        <v>3</v>
      </c>
      <c r="BC36" s="102">
        <v>1</v>
      </c>
      <c r="BD36" s="69">
        <f>TRFdata!J94</f>
        <v>277434</v>
      </c>
      <c r="BE36" s="102">
        <v>4</v>
      </c>
      <c r="BF36" s="102">
        <v>1</v>
      </c>
      <c r="BH36" s="69">
        <f>TRFdata!K89</f>
        <v>505507</v>
      </c>
      <c r="BI36" s="102">
        <v>3</v>
      </c>
      <c r="BJ36" s="102">
        <v>1</v>
      </c>
      <c r="BK36" s="69">
        <f>TRFdata!K94</f>
        <v>798740</v>
      </c>
      <c r="BL36" s="102">
        <v>4</v>
      </c>
      <c r="BM36" s="102">
        <v>1</v>
      </c>
      <c r="BO36" s="69">
        <f>TRFdata!L89</f>
        <v>390603</v>
      </c>
      <c r="BP36" s="102">
        <v>3</v>
      </c>
      <c r="BQ36" s="102">
        <v>1</v>
      </c>
      <c r="BR36" s="69">
        <f>TRFdata!L94</f>
        <v>163196</v>
      </c>
      <c r="BS36" s="102">
        <v>4</v>
      </c>
      <c r="BT36" s="102">
        <v>1</v>
      </c>
      <c r="BV36" s="69">
        <f>TRFdata!M89</f>
        <v>106477</v>
      </c>
      <c r="BW36" s="102">
        <v>3</v>
      </c>
      <c r="BX36" s="102">
        <v>1</v>
      </c>
      <c r="BY36" s="69">
        <f>TRFdata!M94</f>
        <v>254857</v>
      </c>
      <c r="BZ36" s="102">
        <v>4</v>
      </c>
      <c r="CA36" s="102">
        <v>1</v>
      </c>
      <c r="CC36" s="69">
        <f>TRFdata!N89</f>
        <v>596452</v>
      </c>
      <c r="CD36" s="102">
        <v>3</v>
      </c>
      <c r="CE36" s="102">
        <v>1</v>
      </c>
      <c r="CF36" s="69">
        <f>TRFdata!N94</f>
        <v>68522</v>
      </c>
      <c r="CG36" s="102">
        <v>4</v>
      </c>
      <c r="CH36" s="102">
        <v>1</v>
      </c>
      <c r="CJ36" s="102"/>
      <c r="CK36" s="102">
        <v>3</v>
      </c>
      <c r="CL36" s="102">
        <v>1</v>
      </c>
      <c r="CM36" s="102"/>
      <c r="CN36" s="102">
        <v>4</v>
      </c>
      <c r="CO36" s="102">
        <v>1</v>
      </c>
      <c r="CQ36" s="102"/>
      <c r="CR36" s="102">
        <v>3</v>
      </c>
      <c r="CS36" s="102">
        <v>1</v>
      </c>
      <c r="CT36" s="102"/>
      <c r="CU36" s="102">
        <v>4</v>
      </c>
      <c r="CV36" s="102">
        <v>1</v>
      </c>
      <c r="CX36" s="102"/>
      <c r="CY36" s="102">
        <v>3</v>
      </c>
      <c r="CZ36" s="102">
        <v>1</v>
      </c>
      <c r="DA36" s="102"/>
      <c r="DB36" s="102">
        <v>4</v>
      </c>
      <c r="DC36" s="102">
        <v>1</v>
      </c>
      <c r="DE36" s="102"/>
      <c r="DF36" s="102">
        <v>3</v>
      </c>
      <c r="DG36" s="102">
        <v>1</v>
      </c>
      <c r="DH36" s="102"/>
      <c r="DI36" s="102">
        <v>4</v>
      </c>
      <c r="DJ36" s="102">
        <v>1</v>
      </c>
      <c r="DL36" s="102"/>
      <c r="DM36" s="102">
        <v>3</v>
      </c>
      <c r="DN36" s="102">
        <v>1</v>
      </c>
      <c r="DO36" s="102"/>
      <c r="DP36" s="102">
        <v>4</v>
      </c>
      <c r="DQ36" s="102">
        <v>1</v>
      </c>
      <c r="DS36" s="102"/>
      <c r="DT36" s="102">
        <v>3</v>
      </c>
      <c r="DU36" s="102">
        <v>1</v>
      </c>
      <c r="DV36" s="102"/>
      <c r="DW36" s="102">
        <v>4</v>
      </c>
      <c r="DX36" s="102">
        <v>1</v>
      </c>
      <c r="DZ36" s="102"/>
      <c r="EA36" s="102">
        <v>3</v>
      </c>
      <c r="EB36" s="102">
        <v>1</v>
      </c>
      <c r="EC36" s="102"/>
      <c r="ED36" s="102">
        <v>4</v>
      </c>
      <c r="EE36" s="102">
        <v>1</v>
      </c>
      <c r="EG36" s="102"/>
      <c r="EH36" s="102">
        <v>3</v>
      </c>
      <c r="EI36" s="102">
        <v>1</v>
      </c>
      <c r="EJ36" s="102"/>
      <c r="EK36" s="102">
        <v>4</v>
      </c>
      <c r="EL36" s="102">
        <v>1</v>
      </c>
      <c r="EN36" s="102"/>
      <c r="EO36" s="102">
        <v>3</v>
      </c>
      <c r="EP36" s="102">
        <v>1</v>
      </c>
      <c r="EQ36" s="102"/>
      <c r="ER36" s="102">
        <v>4</v>
      </c>
      <c r="ES36" s="102">
        <v>1</v>
      </c>
      <c r="EU36" s="102"/>
      <c r="EV36" s="102">
        <v>3</v>
      </c>
      <c r="EW36" s="102">
        <v>1</v>
      </c>
      <c r="EX36" s="102"/>
      <c r="EY36" s="102">
        <v>4</v>
      </c>
      <c r="EZ36" s="102">
        <v>1</v>
      </c>
      <c r="FB36" s="102"/>
      <c r="FC36" s="102">
        <v>3</v>
      </c>
      <c r="FD36" s="102">
        <v>1</v>
      </c>
      <c r="FE36" s="102"/>
      <c r="FF36" s="102">
        <v>4</v>
      </c>
      <c r="FG36" s="102">
        <v>1</v>
      </c>
      <c r="FI36" s="102"/>
      <c r="FJ36" s="102">
        <v>3</v>
      </c>
      <c r="FK36" s="102">
        <v>1</v>
      </c>
      <c r="FL36" s="102"/>
      <c r="FM36" s="102">
        <v>4</v>
      </c>
      <c r="FN36" s="102">
        <v>1</v>
      </c>
      <c r="FP36" s="102"/>
      <c r="FQ36" s="102">
        <v>3</v>
      </c>
      <c r="FR36" s="102">
        <v>1</v>
      </c>
      <c r="FS36" s="102"/>
      <c r="FT36" s="102">
        <v>4</v>
      </c>
      <c r="FU36" s="102">
        <v>1</v>
      </c>
      <c r="FW36" s="102"/>
      <c r="FX36" s="102">
        <v>3</v>
      </c>
      <c r="FY36" s="102">
        <v>1</v>
      </c>
      <c r="FZ36" s="102"/>
      <c r="GA36" s="102">
        <v>4</v>
      </c>
      <c r="GB36" s="102">
        <v>1</v>
      </c>
      <c r="GD36" s="102"/>
      <c r="GE36" s="102">
        <v>3</v>
      </c>
      <c r="GF36" s="102">
        <v>1</v>
      </c>
      <c r="GG36" s="102"/>
      <c r="GH36" s="102">
        <v>4</v>
      </c>
      <c r="GI36" s="102">
        <v>1</v>
      </c>
      <c r="GK36" s="102"/>
      <c r="GL36" s="102">
        <v>3</v>
      </c>
      <c r="GM36" s="102">
        <v>1</v>
      </c>
      <c r="GN36" s="102"/>
      <c r="GO36" s="102">
        <v>4</v>
      </c>
      <c r="GP36" s="102">
        <v>1</v>
      </c>
      <c r="GR36" s="102"/>
      <c r="GS36" s="102">
        <v>3</v>
      </c>
      <c r="GT36" s="102">
        <v>1</v>
      </c>
      <c r="GU36" s="102"/>
      <c r="GV36" s="102">
        <v>4</v>
      </c>
      <c r="GW36" s="102">
        <v>1</v>
      </c>
      <c r="GY36" s="102"/>
      <c r="GZ36" s="102">
        <v>3</v>
      </c>
      <c r="HA36" s="102">
        <v>1</v>
      </c>
      <c r="HB36" s="102"/>
      <c r="HC36" s="102">
        <v>4</v>
      </c>
      <c r="HD36" s="102">
        <v>1</v>
      </c>
      <c r="HF36" s="102"/>
      <c r="HG36" s="102">
        <v>3</v>
      </c>
      <c r="HH36" s="102">
        <v>1</v>
      </c>
      <c r="HI36" s="102"/>
      <c r="HJ36" s="102">
        <v>4</v>
      </c>
      <c r="HK36" s="102">
        <v>1</v>
      </c>
      <c r="HM36" s="102"/>
      <c r="HN36" s="102">
        <v>3</v>
      </c>
      <c r="HO36" s="102">
        <v>1</v>
      </c>
      <c r="HP36" s="102"/>
      <c r="HQ36" s="102">
        <v>4</v>
      </c>
      <c r="HR36" s="102">
        <v>1</v>
      </c>
      <c r="HT36" s="102"/>
      <c r="HU36" s="102">
        <v>3</v>
      </c>
      <c r="HV36" s="102">
        <v>1</v>
      </c>
      <c r="HW36" s="102"/>
      <c r="HX36" s="102">
        <v>4</v>
      </c>
      <c r="HY36" s="102">
        <v>1</v>
      </c>
      <c r="IA36" s="102"/>
      <c r="IB36" s="102">
        <v>3</v>
      </c>
      <c r="IC36" s="102">
        <v>1</v>
      </c>
      <c r="ID36" s="102"/>
      <c r="IE36" s="102">
        <v>4</v>
      </c>
      <c r="IF36" s="102">
        <v>1</v>
      </c>
      <c r="IH36" s="102"/>
      <c r="II36" s="102">
        <v>3</v>
      </c>
      <c r="IJ36" s="102">
        <v>1</v>
      </c>
      <c r="IK36" s="102"/>
      <c r="IL36" s="102">
        <v>4</v>
      </c>
      <c r="IM36" s="102">
        <v>1</v>
      </c>
      <c r="IO36" s="102"/>
      <c r="IP36" s="102">
        <v>3</v>
      </c>
      <c r="IQ36" s="102">
        <v>1</v>
      </c>
      <c r="IR36" s="102"/>
      <c r="IS36" s="102">
        <v>4</v>
      </c>
      <c r="IT36" s="102">
        <v>1</v>
      </c>
    </row>
    <row r="37" spans="4:254" x14ac:dyDescent="0.2">
      <c r="D37" s="69">
        <f>TRFdata!C90</f>
        <v>357060</v>
      </c>
      <c r="E37" s="102">
        <v>5</v>
      </c>
      <c r="F37" s="102">
        <v>1</v>
      </c>
      <c r="G37" s="69">
        <f>TRFdata!C95</f>
        <v>670690</v>
      </c>
      <c r="H37" s="102">
        <v>6</v>
      </c>
      <c r="I37" s="102">
        <v>1</v>
      </c>
      <c r="K37" s="69">
        <f>TRFdata!D90</f>
        <v>941364</v>
      </c>
      <c r="L37" s="102">
        <v>5</v>
      </c>
      <c r="M37" s="102">
        <v>1</v>
      </c>
      <c r="N37" s="69">
        <f>TRFdata!D95</f>
        <v>924259</v>
      </c>
      <c r="O37" s="102">
        <v>6</v>
      </c>
      <c r="P37" s="102">
        <v>1</v>
      </c>
      <c r="R37" s="69">
        <f>TRFdata!E90</f>
        <v>144584</v>
      </c>
      <c r="S37" s="102">
        <v>5</v>
      </c>
      <c r="T37" s="102">
        <v>1</v>
      </c>
      <c r="U37" s="69">
        <f>TRFdata!E95</f>
        <v>360342</v>
      </c>
      <c r="V37" s="102">
        <v>6</v>
      </c>
      <c r="W37" s="102">
        <v>1</v>
      </c>
      <c r="Y37" s="69">
        <f>TRFdata!F90</f>
        <v>255967</v>
      </c>
      <c r="Z37" s="102">
        <v>5</v>
      </c>
      <c r="AA37" s="102">
        <v>1</v>
      </c>
      <c r="AB37" s="69">
        <f>TRFdata!F95</f>
        <v>430536</v>
      </c>
      <c r="AC37" s="102">
        <v>6</v>
      </c>
      <c r="AD37" s="102">
        <v>1</v>
      </c>
      <c r="AF37" s="69">
        <f>TRFdata!G90</f>
        <v>726625</v>
      </c>
      <c r="AG37" s="102">
        <v>5</v>
      </c>
      <c r="AH37" s="102">
        <v>1</v>
      </c>
      <c r="AI37" s="69">
        <f>TRFdata!G95</f>
        <v>873835</v>
      </c>
      <c r="AJ37" s="102">
        <v>6</v>
      </c>
      <c r="AK37" s="102">
        <v>1</v>
      </c>
      <c r="AM37" s="69">
        <f>TRFdata!H90</f>
        <v>488396</v>
      </c>
      <c r="AN37" s="102">
        <v>5</v>
      </c>
      <c r="AO37" s="102">
        <v>1</v>
      </c>
      <c r="AP37" s="69">
        <f>TRFdata!H95</f>
        <v>202110</v>
      </c>
      <c r="AQ37" s="102">
        <v>6</v>
      </c>
      <c r="AR37" s="102">
        <v>1</v>
      </c>
      <c r="AT37" s="69">
        <f>TRFdata!I90</f>
        <v>671578</v>
      </c>
      <c r="AU37" s="102">
        <v>5</v>
      </c>
      <c r="AV37" s="102">
        <v>1</v>
      </c>
      <c r="AW37" s="69">
        <f>TRFdata!I95</f>
        <v>715038</v>
      </c>
      <c r="AX37" s="102">
        <v>6</v>
      </c>
      <c r="AY37" s="102">
        <v>1</v>
      </c>
      <c r="BA37" s="69">
        <f>TRFdata!J90</f>
        <v>183647</v>
      </c>
      <c r="BB37" s="102">
        <v>5</v>
      </c>
      <c r="BC37" s="102">
        <v>1</v>
      </c>
      <c r="BD37" s="69">
        <f>TRFdata!J95</f>
        <v>205999</v>
      </c>
      <c r="BE37" s="102">
        <v>6</v>
      </c>
      <c r="BF37" s="102">
        <v>1</v>
      </c>
      <c r="BH37" s="69">
        <f>TRFdata!K90</f>
        <v>65277</v>
      </c>
      <c r="BI37" s="102">
        <v>5</v>
      </c>
      <c r="BJ37" s="102">
        <v>1</v>
      </c>
      <c r="BK37" s="69">
        <f>TRFdata!K95</f>
        <v>455235</v>
      </c>
      <c r="BL37" s="102">
        <v>6</v>
      </c>
      <c r="BM37" s="102">
        <v>1</v>
      </c>
      <c r="BO37" s="69">
        <f>TRFdata!L90</f>
        <v>640040</v>
      </c>
      <c r="BP37" s="102">
        <v>5</v>
      </c>
      <c r="BQ37" s="102">
        <v>1</v>
      </c>
      <c r="BR37" s="69">
        <f>TRFdata!L95</f>
        <v>623387</v>
      </c>
      <c r="BS37" s="102">
        <v>6</v>
      </c>
      <c r="BT37" s="102">
        <v>1</v>
      </c>
      <c r="BV37" s="69">
        <f>TRFdata!M90</f>
        <v>148898</v>
      </c>
      <c r="BW37" s="102">
        <v>5</v>
      </c>
      <c r="BX37" s="102">
        <v>1</v>
      </c>
      <c r="BY37" s="69">
        <f>TRFdata!M95</f>
        <v>376259</v>
      </c>
      <c r="BZ37" s="102">
        <v>6</v>
      </c>
      <c r="CA37" s="102">
        <v>1</v>
      </c>
      <c r="CC37" s="69">
        <f>TRFdata!N90</f>
        <v>846105</v>
      </c>
      <c r="CD37" s="102">
        <v>5</v>
      </c>
      <c r="CE37" s="102">
        <v>1</v>
      </c>
      <c r="CF37" s="69">
        <f>TRFdata!N95</f>
        <v>332249</v>
      </c>
      <c r="CG37" s="102">
        <v>6</v>
      </c>
      <c r="CH37" s="102">
        <v>1</v>
      </c>
      <c r="CJ37" s="102"/>
      <c r="CK37" s="102">
        <v>5</v>
      </c>
      <c r="CL37" s="102">
        <v>1</v>
      </c>
      <c r="CM37" s="102"/>
      <c r="CN37" s="102">
        <v>6</v>
      </c>
      <c r="CO37" s="102">
        <v>1</v>
      </c>
      <c r="CQ37" s="102"/>
      <c r="CR37" s="102">
        <v>5</v>
      </c>
      <c r="CS37" s="102">
        <v>1</v>
      </c>
      <c r="CT37" s="102"/>
      <c r="CU37" s="102">
        <v>6</v>
      </c>
      <c r="CV37" s="102">
        <v>1</v>
      </c>
      <c r="CX37" s="102"/>
      <c r="CY37" s="102">
        <v>5</v>
      </c>
      <c r="CZ37" s="102">
        <v>1</v>
      </c>
      <c r="DA37" s="102"/>
      <c r="DB37" s="102">
        <v>6</v>
      </c>
      <c r="DC37" s="102">
        <v>1</v>
      </c>
      <c r="DE37" s="102"/>
      <c r="DF37" s="102">
        <v>5</v>
      </c>
      <c r="DG37" s="102">
        <v>1</v>
      </c>
      <c r="DH37" s="102"/>
      <c r="DI37" s="102">
        <v>6</v>
      </c>
      <c r="DJ37" s="102">
        <v>1</v>
      </c>
      <c r="DL37" s="102"/>
      <c r="DM37" s="102">
        <v>5</v>
      </c>
      <c r="DN37" s="102">
        <v>1</v>
      </c>
      <c r="DO37" s="102"/>
      <c r="DP37" s="102">
        <v>6</v>
      </c>
      <c r="DQ37" s="102">
        <v>1</v>
      </c>
      <c r="DS37" s="102"/>
      <c r="DT37" s="102">
        <v>5</v>
      </c>
      <c r="DU37" s="102">
        <v>1</v>
      </c>
      <c r="DV37" s="102"/>
      <c r="DW37" s="102">
        <v>6</v>
      </c>
      <c r="DX37" s="102">
        <v>1</v>
      </c>
      <c r="DZ37" s="102"/>
      <c r="EA37" s="102">
        <v>5</v>
      </c>
      <c r="EB37" s="102">
        <v>1</v>
      </c>
      <c r="EC37" s="102"/>
      <c r="ED37" s="102">
        <v>6</v>
      </c>
      <c r="EE37" s="102">
        <v>1</v>
      </c>
      <c r="EG37" s="102"/>
      <c r="EH37" s="102">
        <v>5</v>
      </c>
      <c r="EI37" s="102">
        <v>1</v>
      </c>
      <c r="EJ37" s="102"/>
      <c r="EK37" s="102">
        <v>6</v>
      </c>
      <c r="EL37" s="102">
        <v>1</v>
      </c>
      <c r="EN37" s="102"/>
      <c r="EO37" s="102">
        <v>5</v>
      </c>
      <c r="EP37" s="102">
        <v>1</v>
      </c>
      <c r="EQ37" s="102"/>
      <c r="ER37" s="102">
        <v>6</v>
      </c>
      <c r="ES37" s="102">
        <v>1</v>
      </c>
      <c r="EU37" s="102"/>
      <c r="EV37" s="102">
        <v>5</v>
      </c>
      <c r="EW37" s="102">
        <v>1</v>
      </c>
      <c r="EX37" s="102"/>
      <c r="EY37" s="102">
        <v>6</v>
      </c>
      <c r="EZ37" s="102">
        <v>1</v>
      </c>
      <c r="FB37" s="102"/>
      <c r="FC37" s="102">
        <v>5</v>
      </c>
      <c r="FD37" s="102">
        <v>1</v>
      </c>
      <c r="FE37" s="102"/>
      <c r="FF37" s="102">
        <v>6</v>
      </c>
      <c r="FG37" s="102">
        <v>1</v>
      </c>
      <c r="FI37" s="102"/>
      <c r="FJ37" s="102">
        <v>5</v>
      </c>
      <c r="FK37" s="102">
        <v>1</v>
      </c>
      <c r="FL37" s="102"/>
      <c r="FM37" s="102">
        <v>6</v>
      </c>
      <c r="FN37" s="102">
        <v>1</v>
      </c>
      <c r="FP37" s="102"/>
      <c r="FQ37" s="102">
        <v>5</v>
      </c>
      <c r="FR37" s="102">
        <v>1</v>
      </c>
      <c r="FS37" s="102"/>
      <c r="FT37" s="102">
        <v>6</v>
      </c>
      <c r="FU37" s="102">
        <v>1</v>
      </c>
      <c r="FW37" s="102"/>
      <c r="FX37" s="102">
        <v>5</v>
      </c>
      <c r="FY37" s="102">
        <v>1</v>
      </c>
      <c r="FZ37" s="102"/>
      <c r="GA37" s="102">
        <v>6</v>
      </c>
      <c r="GB37" s="102">
        <v>1</v>
      </c>
      <c r="GD37" s="102"/>
      <c r="GE37" s="102">
        <v>5</v>
      </c>
      <c r="GF37" s="102">
        <v>1</v>
      </c>
      <c r="GG37" s="102"/>
      <c r="GH37" s="102">
        <v>6</v>
      </c>
      <c r="GI37" s="102">
        <v>1</v>
      </c>
      <c r="GK37" s="102"/>
      <c r="GL37" s="102">
        <v>5</v>
      </c>
      <c r="GM37" s="102">
        <v>1</v>
      </c>
      <c r="GN37" s="102"/>
      <c r="GO37" s="102">
        <v>6</v>
      </c>
      <c r="GP37" s="102">
        <v>1</v>
      </c>
      <c r="GR37" s="102"/>
      <c r="GS37" s="102">
        <v>5</v>
      </c>
      <c r="GT37" s="102">
        <v>1</v>
      </c>
      <c r="GU37" s="102"/>
      <c r="GV37" s="102">
        <v>6</v>
      </c>
      <c r="GW37" s="102">
        <v>1</v>
      </c>
      <c r="GY37" s="102"/>
      <c r="GZ37" s="102">
        <v>5</v>
      </c>
      <c r="HA37" s="102">
        <v>1</v>
      </c>
      <c r="HB37" s="102"/>
      <c r="HC37" s="102">
        <v>6</v>
      </c>
      <c r="HD37" s="102">
        <v>1</v>
      </c>
      <c r="HF37" s="102"/>
      <c r="HG37" s="102">
        <v>5</v>
      </c>
      <c r="HH37" s="102">
        <v>1</v>
      </c>
      <c r="HI37" s="102"/>
      <c r="HJ37" s="102">
        <v>6</v>
      </c>
      <c r="HK37" s="102">
        <v>1</v>
      </c>
      <c r="HM37" s="102"/>
      <c r="HN37" s="102">
        <v>5</v>
      </c>
      <c r="HO37" s="102">
        <v>1</v>
      </c>
      <c r="HP37" s="102"/>
      <c r="HQ37" s="102">
        <v>6</v>
      </c>
      <c r="HR37" s="102">
        <v>1</v>
      </c>
      <c r="HT37" s="102"/>
      <c r="HU37" s="102">
        <v>5</v>
      </c>
      <c r="HV37" s="102">
        <v>1</v>
      </c>
      <c r="HW37" s="102"/>
      <c r="HX37" s="102">
        <v>6</v>
      </c>
      <c r="HY37" s="102">
        <v>1</v>
      </c>
      <c r="IA37" s="102"/>
      <c r="IB37" s="102">
        <v>5</v>
      </c>
      <c r="IC37" s="102">
        <v>1</v>
      </c>
      <c r="ID37" s="102"/>
      <c r="IE37" s="102">
        <v>6</v>
      </c>
      <c r="IF37" s="102">
        <v>1</v>
      </c>
      <c r="IH37" s="102"/>
      <c r="II37" s="102">
        <v>5</v>
      </c>
      <c r="IJ37" s="102">
        <v>1</v>
      </c>
      <c r="IK37" s="102"/>
      <c r="IL37" s="102">
        <v>6</v>
      </c>
      <c r="IM37" s="102">
        <v>1</v>
      </c>
      <c r="IO37" s="102"/>
      <c r="IP37" s="102">
        <v>5</v>
      </c>
      <c r="IQ37" s="102">
        <v>1</v>
      </c>
      <c r="IR37" s="102"/>
      <c r="IS37" s="102">
        <v>6</v>
      </c>
      <c r="IT37" s="102">
        <v>1</v>
      </c>
    </row>
    <row r="38" spans="4:254" x14ac:dyDescent="0.2">
      <c r="D38" s="69">
        <f>TRFdata!C91</f>
        <v>101190</v>
      </c>
      <c r="E38" s="102">
        <v>7</v>
      </c>
      <c r="F38" s="102">
        <v>1</v>
      </c>
      <c r="G38" s="69">
        <f>TRFdata!C96</f>
        <v>406600</v>
      </c>
      <c r="H38" s="102">
        <v>8</v>
      </c>
      <c r="I38" s="102">
        <v>1</v>
      </c>
      <c r="K38" s="69">
        <f>TRFdata!D91</f>
        <v>640509</v>
      </c>
      <c r="L38" s="102">
        <v>7</v>
      </c>
      <c r="M38" s="102">
        <v>1</v>
      </c>
      <c r="N38" s="69">
        <f>TRFdata!D96</f>
        <v>547277</v>
      </c>
      <c r="O38" s="102">
        <v>8</v>
      </c>
      <c r="P38" s="102">
        <v>1</v>
      </c>
      <c r="R38" s="69">
        <f>TRFdata!E91</f>
        <v>402886</v>
      </c>
      <c r="S38" s="102">
        <v>7</v>
      </c>
      <c r="T38" s="102">
        <v>1</v>
      </c>
      <c r="U38" s="69">
        <f>TRFdata!E96</f>
        <v>782338</v>
      </c>
      <c r="V38" s="102">
        <v>8</v>
      </c>
      <c r="W38" s="102">
        <v>1</v>
      </c>
      <c r="Y38" s="69">
        <f>TRFdata!F91</f>
        <v>62201</v>
      </c>
      <c r="Z38" s="102">
        <v>7</v>
      </c>
      <c r="AA38" s="102">
        <v>1</v>
      </c>
      <c r="AB38" s="69">
        <f>TRFdata!F96</f>
        <v>130589</v>
      </c>
      <c r="AC38" s="102">
        <v>8</v>
      </c>
      <c r="AD38" s="102">
        <v>1</v>
      </c>
      <c r="AF38" s="69">
        <f>TRFdata!G91</f>
        <v>951583</v>
      </c>
      <c r="AG38" s="102">
        <v>7</v>
      </c>
      <c r="AH38" s="102">
        <v>1</v>
      </c>
      <c r="AI38" s="69">
        <f>TRFdata!G96</f>
        <v>173669</v>
      </c>
      <c r="AJ38" s="102">
        <v>8</v>
      </c>
      <c r="AK38" s="102">
        <v>1</v>
      </c>
      <c r="AM38" s="69">
        <f>TRFdata!H91</f>
        <v>923254</v>
      </c>
      <c r="AN38" s="102">
        <v>7</v>
      </c>
      <c r="AO38" s="102">
        <v>1</v>
      </c>
      <c r="AP38" s="69">
        <f>TRFdata!H96</f>
        <v>450739</v>
      </c>
      <c r="AQ38" s="102">
        <v>8</v>
      </c>
      <c r="AR38" s="102">
        <v>1</v>
      </c>
      <c r="AT38" s="69">
        <f>TRFdata!I91</f>
        <v>571086</v>
      </c>
      <c r="AU38" s="102">
        <v>7</v>
      </c>
      <c r="AV38" s="102">
        <v>1</v>
      </c>
      <c r="AW38" s="69">
        <f>TRFdata!I96</f>
        <v>96779</v>
      </c>
      <c r="AX38" s="102">
        <v>8</v>
      </c>
      <c r="AY38" s="102">
        <v>1</v>
      </c>
      <c r="BA38" s="69">
        <f>TRFdata!J91</f>
        <v>759259</v>
      </c>
      <c r="BB38" s="102">
        <v>7</v>
      </c>
      <c r="BC38" s="102">
        <v>1</v>
      </c>
      <c r="BD38" s="69">
        <f>TRFdata!J96</f>
        <v>367911</v>
      </c>
      <c r="BE38" s="102">
        <v>8</v>
      </c>
      <c r="BF38" s="102">
        <v>1</v>
      </c>
      <c r="BH38" s="69">
        <f>TRFdata!K91</f>
        <v>521808</v>
      </c>
      <c r="BI38" s="102">
        <v>7</v>
      </c>
      <c r="BJ38" s="102">
        <v>1</v>
      </c>
      <c r="BK38" s="69">
        <f>TRFdata!K96</f>
        <v>228846</v>
      </c>
      <c r="BL38" s="102">
        <v>8</v>
      </c>
      <c r="BM38" s="102">
        <v>1</v>
      </c>
      <c r="BO38" s="69">
        <f>TRFdata!L91</f>
        <v>661623</v>
      </c>
      <c r="BP38" s="102">
        <v>7</v>
      </c>
      <c r="BQ38" s="102">
        <v>1</v>
      </c>
      <c r="BR38" s="69">
        <f>TRFdata!L96</f>
        <v>750379</v>
      </c>
      <c r="BS38" s="102">
        <v>8</v>
      </c>
      <c r="BT38" s="102">
        <v>1</v>
      </c>
      <c r="BV38" s="69">
        <f>TRFdata!M91</f>
        <v>734155</v>
      </c>
      <c r="BW38" s="102">
        <v>7</v>
      </c>
      <c r="BX38" s="102">
        <v>1</v>
      </c>
      <c r="BY38" s="69">
        <f>TRFdata!M96</f>
        <v>492176</v>
      </c>
      <c r="BZ38" s="102">
        <v>8</v>
      </c>
      <c r="CA38" s="102">
        <v>1</v>
      </c>
      <c r="CC38" s="69">
        <f>TRFdata!N91</f>
        <v>737542</v>
      </c>
      <c r="CD38" s="102">
        <v>7</v>
      </c>
      <c r="CE38" s="102">
        <v>1</v>
      </c>
      <c r="CF38" s="69">
        <f>TRFdata!N96</f>
        <v>555806</v>
      </c>
      <c r="CG38" s="102">
        <v>8</v>
      </c>
      <c r="CH38" s="102">
        <v>1</v>
      </c>
      <c r="CJ38" s="102"/>
      <c r="CK38" s="102">
        <v>7</v>
      </c>
      <c r="CL38" s="102">
        <v>1</v>
      </c>
      <c r="CM38" s="102"/>
      <c r="CN38" s="102">
        <v>8</v>
      </c>
      <c r="CO38" s="102">
        <v>1</v>
      </c>
      <c r="CQ38" s="102"/>
      <c r="CR38" s="102">
        <v>7</v>
      </c>
      <c r="CS38" s="102">
        <v>1</v>
      </c>
      <c r="CT38" s="102"/>
      <c r="CU38" s="102">
        <v>8</v>
      </c>
      <c r="CV38" s="102">
        <v>1</v>
      </c>
      <c r="CX38" s="102"/>
      <c r="CY38" s="102">
        <v>7</v>
      </c>
      <c r="CZ38" s="102">
        <v>1</v>
      </c>
      <c r="DA38" s="102"/>
      <c r="DB38" s="102">
        <v>8</v>
      </c>
      <c r="DC38" s="102">
        <v>1</v>
      </c>
      <c r="DE38" s="102"/>
      <c r="DF38" s="102">
        <v>7</v>
      </c>
      <c r="DG38" s="102">
        <v>1</v>
      </c>
      <c r="DH38" s="102"/>
      <c r="DI38" s="102">
        <v>8</v>
      </c>
      <c r="DJ38" s="102">
        <v>1</v>
      </c>
      <c r="DL38" s="102"/>
      <c r="DM38" s="102">
        <v>7</v>
      </c>
      <c r="DN38" s="102">
        <v>1</v>
      </c>
      <c r="DO38" s="102"/>
      <c r="DP38" s="102">
        <v>8</v>
      </c>
      <c r="DQ38" s="102">
        <v>1</v>
      </c>
      <c r="DS38" s="102"/>
      <c r="DT38" s="102">
        <v>7</v>
      </c>
      <c r="DU38" s="102">
        <v>1</v>
      </c>
      <c r="DV38" s="102"/>
      <c r="DW38" s="102">
        <v>8</v>
      </c>
      <c r="DX38" s="102">
        <v>1</v>
      </c>
      <c r="DZ38" s="102"/>
      <c r="EA38" s="102">
        <v>7</v>
      </c>
      <c r="EB38" s="102">
        <v>1</v>
      </c>
      <c r="EC38" s="102"/>
      <c r="ED38" s="102">
        <v>8</v>
      </c>
      <c r="EE38" s="102">
        <v>1</v>
      </c>
      <c r="EG38" s="102"/>
      <c r="EH38" s="102">
        <v>7</v>
      </c>
      <c r="EI38" s="102">
        <v>1</v>
      </c>
      <c r="EJ38" s="102"/>
      <c r="EK38" s="102">
        <v>8</v>
      </c>
      <c r="EL38" s="102">
        <v>1</v>
      </c>
      <c r="EN38" s="102"/>
      <c r="EO38" s="102">
        <v>7</v>
      </c>
      <c r="EP38" s="102">
        <v>1</v>
      </c>
      <c r="EQ38" s="102"/>
      <c r="ER38" s="102">
        <v>8</v>
      </c>
      <c r="ES38" s="102">
        <v>1</v>
      </c>
      <c r="EU38" s="102"/>
      <c r="EV38" s="102">
        <v>7</v>
      </c>
      <c r="EW38" s="102">
        <v>1</v>
      </c>
      <c r="EX38" s="102"/>
      <c r="EY38" s="102">
        <v>8</v>
      </c>
      <c r="EZ38" s="102">
        <v>1</v>
      </c>
      <c r="FB38" s="102"/>
      <c r="FC38" s="102">
        <v>7</v>
      </c>
      <c r="FD38" s="102">
        <v>1</v>
      </c>
      <c r="FE38" s="102"/>
      <c r="FF38" s="102">
        <v>8</v>
      </c>
      <c r="FG38" s="102">
        <v>1</v>
      </c>
      <c r="FI38" s="102"/>
      <c r="FJ38" s="102">
        <v>7</v>
      </c>
      <c r="FK38" s="102">
        <v>1</v>
      </c>
      <c r="FL38" s="102"/>
      <c r="FM38" s="102">
        <v>8</v>
      </c>
      <c r="FN38" s="102">
        <v>1</v>
      </c>
      <c r="FP38" s="102"/>
      <c r="FQ38" s="102">
        <v>7</v>
      </c>
      <c r="FR38" s="102">
        <v>1</v>
      </c>
      <c r="FS38" s="102"/>
      <c r="FT38" s="102">
        <v>8</v>
      </c>
      <c r="FU38" s="102">
        <v>1</v>
      </c>
      <c r="FW38" s="102"/>
      <c r="FX38" s="102">
        <v>7</v>
      </c>
      <c r="FY38" s="102">
        <v>1</v>
      </c>
      <c r="FZ38" s="102"/>
      <c r="GA38" s="102">
        <v>8</v>
      </c>
      <c r="GB38" s="102">
        <v>1</v>
      </c>
      <c r="GD38" s="102"/>
      <c r="GE38" s="102">
        <v>7</v>
      </c>
      <c r="GF38" s="102">
        <v>1</v>
      </c>
      <c r="GG38" s="102"/>
      <c r="GH38" s="102">
        <v>8</v>
      </c>
      <c r="GI38" s="102">
        <v>1</v>
      </c>
      <c r="GK38" s="102"/>
      <c r="GL38" s="102">
        <v>7</v>
      </c>
      <c r="GM38" s="102">
        <v>1</v>
      </c>
      <c r="GN38" s="102"/>
      <c r="GO38" s="102">
        <v>8</v>
      </c>
      <c r="GP38" s="102">
        <v>1</v>
      </c>
      <c r="GR38" s="102"/>
      <c r="GS38" s="102">
        <v>7</v>
      </c>
      <c r="GT38" s="102">
        <v>1</v>
      </c>
      <c r="GU38" s="102"/>
      <c r="GV38" s="102">
        <v>8</v>
      </c>
      <c r="GW38" s="102">
        <v>1</v>
      </c>
      <c r="GY38" s="102"/>
      <c r="GZ38" s="102">
        <v>7</v>
      </c>
      <c r="HA38" s="102">
        <v>1</v>
      </c>
      <c r="HB38" s="102"/>
      <c r="HC38" s="102">
        <v>8</v>
      </c>
      <c r="HD38" s="102">
        <v>1</v>
      </c>
      <c r="HF38" s="102"/>
      <c r="HG38" s="102">
        <v>7</v>
      </c>
      <c r="HH38" s="102">
        <v>1</v>
      </c>
      <c r="HI38" s="102"/>
      <c r="HJ38" s="102">
        <v>8</v>
      </c>
      <c r="HK38" s="102">
        <v>1</v>
      </c>
      <c r="HM38" s="102"/>
      <c r="HN38" s="102">
        <v>7</v>
      </c>
      <c r="HO38" s="102">
        <v>1</v>
      </c>
      <c r="HP38" s="102"/>
      <c r="HQ38" s="102">
        <v>8</v>
      </c>
      <c r="HR38" s="102">
        <v>1</v>
      </c>
      <c r="HT38" s="102"/>
      <c r="HU38" s="102">
        <v>7</v>
      </c>
      <c r="HV38" s="102">
        <v>1</v>
      </c>
      <c r="HW38" s="102"/>
      <c r="HX38" s="102">
        <v>8</v>
      </c>
      <c r="HY38" s="102">
        <v>1</v>
      </c>
      <c r="IA38" s="102"/>
      <c r="IB38" s="102">
        <v>7</v>
      </c>
      <c r="IC38" s="102">
        <v>1</v>
      </c>
      <c r="ID38" s="102"/>
      <c r="IE38" s="102">
        <v>8</v>
      </c>
      <c r="IF38" s="102">
        <v>1</v>
      </c>
      <c r="IH38" s="102"/>
      <c r="II38" s="102">
        <v>7</v>
      </c>
      <c r="IJ38" s="102">
        <v>1</v>
      </c>
      <c r="IK38" s="102"/>
      <c r="IL38" s="102">
        <v>8</v>
      </c>
      <c r="IM38" s="102">
        <v>1</v>
      </c>
      <c r="IO38" s="102"/>
      <c r="IP38" s="102">
        <v>7</v>
      </c>
      <c r="IQ38" s="102">
        <v>1</v>
      </c>
      <c r="IR38" s="102"/>
      <c r="IS38" s="102">
        <v>8</v>
      </c>
      <c r="IT38" s="102">
        <v>1</v>
      </c>
    </row>
    <row r="39" spans="4:254" x14ac:dyDescent="0.2">
      <c r="D39" s="69">
        <f>TRFdata!C92</f>
        <v>657407</v>
      </c>
      <c r="E39" s="102">
        <v>9</v>
      </c>
      <c r="F39" s="102">
        <v>1</v>
      </c>
      <c r="G39" s="69">
        <f>TRFdata!C97</f>
        <v>616708</v>
      </c>
      <c r="H39" s="102">
        <v>10</v>
      </c>
      <c r="I39" s="102">
        <v>1</v>
      </c>
      <c r="K39" s="69">
        <f>TRFdata!D92</f>
        <v>452998</v>
      </c>
      <c r="L39" s="102">
        <v>9</v>
      </c>
      <c r="M39" s="102">
        <v>1</v>
      </c>
      <c r="N39" s="69">
        <f>TRFdata!D97</f>
        <v>537026</v>
      </c>
      <c r="O39" s="102">
        <v>10</v>
      </c>
      <c r="P39" s="102">
        <v>1</v>
      </c>
      <c r="R39" s="69">
        <f>TRFdata!E92</f>
        <v>578143</v>
      </c>
      <c r="S39" s="102">
        <v>9</v>
      </c>
      <c r="T39" s="102">
        <v>1</v>
      </c>
      <c r="U39" s="69">
        <f>TRFdata!E97</f>
        <v>774144</v>
      </c>
      <c r="V39" s="102">
        <v>10</v>
      </c>
      <c r="W39" s="102">
        <v>1</v>
      </c>
      <c r="Y39" s="69">
        <f>TRFdata!F92</f>
        <v>936582</v>
      </c>
      <c r="Z39" s="102">
        <v>9</v>
      </c>
      <c r="AA39" s="102">
        <v>1</v>
      </c>
      <c r="AB39" s="69">
        <f>TRFdata!F97</f>
        <v>94556</v>
      </c>
      <c r="AC39" s="102">
        <v>10</v>
      </c>
      <c r="AD39" s="102">
        <v>1</v>
      </c>
      <c r="AF39" s="69">
        <f>TRFdata!G92</f>
        <v>572159</v>
      </c>
      <c r="AG39" s="102">
        <v>9</v>
      </c>
      <c r="AH39" s="102">
        <v>1</v>
      </c>
      <c r="AI39" s="69">
        <f>TRFdata!G97</f>
        <v>267432</v>
      </c>
      <c r="AJ39" s="102">
        <v>10</v>
      </c>
      <c r="AK39" s="102">
        <v>1</v>
      </c>
      <c r="AM39" s="69">
        <f>TRFdata!H92</f>
        <v>766327</v>
      </c>
      <c r="AN39" s="102">
        <v>9</v>
      </c>
      <c r="AO39" s="102">
        <v>1</v>
      </c>
      <c r="AP39" s="69">
        <f>TRFdata!H97</f>
        <v>314176</v>
      </c>
      <c r="AQ39" s="102">
        <v>10</v>
      </c>
      <c r="AR39" s="102">
        <v>1</v>
      </c>
      <c r="AT39" s="69">
        <f>TRFdata!I92</f>
        <v>2016</v>
      </c>
      <c r="AU39" s="102">
        <v>9</v>
      </c>
      <c r="AV39" s="102">
        <v>1</v>
      </c>
      <c r="AW39" s="69">
        <f>TRFdata!I97</f>
        <v>347778</v>
      </c>
      <c r="AX39" s="102">
        <v>10</v>
      </c>
      <c r="AY39" s="102">
        <v>1</v>
      </c>
      <c r="BA39" s="69">
        <f>TRFdata!J92</f>
        <v>436068</v>
      </c>
      <c r="BB39" s="102">
        <v>9</v>
      </c>
      <c r="BC39" s="102">
        <v>1</v>
      </c>
      <c r="BD39" s="69">
        <f>TRFdata!J97</f>
        <v>250043</v>
      </c>
      <c r="BE39" s="102">
        <v>10</v>
      </c>
      <c r="BF39" s="102">
        <v>1</v>
      </c>
      <c r="BH39" s="69">
        <f>TRFdata!K92</f>
        <v>32553</v>
      </c>
      <c r="BI39" s="102">
        <v>9</v>
      </c>
      <c r="BJ39" s="102">
        <v>1</v>
      </c>
      <c r="BK39" s="69">
        <f>TRFdata!K97</f>
        <v>116692</v>
      </c>
      <c r="BL39" s="102">
        <v>10</v>
      </c>
      <c r="BM39" s="102">
        <v>1</v>
      </c>
      <c r="BO39" s="69">
        <f>TRFdata!L92</f>
        <v>884552</v>
      </c>
      <c r="BP39" s="102">
        <v>9</v>
      </c>
      <c r="BQ39" s="102">
        <v>1</v>
      </c>
      <c r="BR39" s="69">
        <f>TRFdata!L97</f>
        <v>314214</v>
      </c>
      <c r="BS39" s="102">
        <v>10</v>
      </c>
      <c r="BT39" s="102">
        <v>1</v>
      </c>
      <c r="BV39" s="69">
        <f>TRFdata!M92</f>
        <v>860014</v>
      </c>
      <c r="BW39" s="102">
        <v>9</v>
      </c>
      <c r="BX39" s="102">
        <v>1</v>
      </c>
      <c r="BY39" s="69">
        <f>TRFdata!M97</f>
        <v>694482</v>
      </c>
      <c r="BZ39" s="102">
        <v>10</v>
      </c>
      <c r="CA39" s="102">
        <v>1</v>
      </c>
      <c r="CC39" s="69">
        <f>TRFdata!N92</f>
        <v>623940</v>
      </c>
      <c r="CD39" s="102">
        <v>9</v>
      </c>
      <c r="CE39" s="102">
        <v>1</v>
      </c>
      <c r="CF39" s="69">
        <f>TRFdata!N97</f>
        <v>36024</v>
      </c>
      <c r="CG39" s="102">
        <v>10</v>
      </c>
      <c r="CH39" s="102">
        <v>1</v>
      </c>
      <c r="CJ39" s="102"/>
      <c r="CK39" s="102">
        <v>9</v>
      </c>
      <c r="CL39" s="102">
        <v>1</v>
      </c>
      <c r="CM39" s="102"/>
      <c r="CN39" s="102">
        <v>10</v>
      </c>
      <c r="CO39" s="102">
        <v>1</v>
      </c>
      <c r="CQ39" s="102"/>
      <c r="CR39" s="102">
        <v>9</v>
      </c>
      <c r="CS39" s="102">
        <v>1</v>
      </c>
      <c r="CT39" s="102"/>
      <c r="CU39" s="102">
        <v>10</v>
      </c>
      <c r="CV39" s="102">
        <v>1</v>
      </c>
      <c r="CX39" s="102"/>
      <c r="CY39" s="102">
        <v>9</v>
      </c>
      <c r="CZ39" s="102">
        <v>1</v>
      </c>
      <c r="DA39" s="102"/>
      <c r="DB39" s="102">
        <v>10</v>
      </c>
      <c r="DC39" s="102">
        <v>1</v>
      </c>
      <c r="DE39" s="102"/>
      <c r="DF39" s="102">
        <v>9</v>
      </c>
      <c r="DG39" s="102">
        <v>1</v>
      </c>
      <c r="DH39" s="102"/>
      <c r="DI39" s="102">
        <v>10</v>
      </c>
      <c r="DJ39" s="102">
        <v>1</v>
      </c>
      <c r="DL39" s="102"/>
      <c r="DM39" s="102">
        <v>9</v>
      </c>
      <c r="DN39" s="102">
        <v>1</v>
      </c>
      <c r="DO39" s="102"/>
      <c r="DP39" s="102">
        <v>10</v>
      </c>
      <c r="DQ39" s="102">
        <v>1</v>
      </c>
      <c r="DS39" s="102"/>
      <c r="DT39" s="102">
        <v>9</v>
      </c>
      <c r="DU39" s="102">
        <v>1</v>
      </c>
      <c r="DV39" s="102"/>
      <c r="DW39" s="102">
        <v>10</v>
      </c>
      <c r="DX39" s="102">
        <v>1</v>
      </c>
      <c r="DZ39" s="102"/>
      <c r="EA39" s="102">
        <v>9</v>
      </c>
      <c r="EB39" s="102">
        <v>1</v>
      </c>
      <c r="EC39" s="102"/>
      <c r="ED39" s="102">
        <v>10</v>
      </c>
      <c r="EE39" s="102">
        <v>1</v>
      </c>
      <c r="EG39" s="102"/>
      <c r="EH39" s="102">
        <v>9</v>
      </c>
      <c r="EI39" s="102">
        <v>1</v>
      </c>
      <c r="EJ39" s="102"/>
      <c r="EK39" s="102">
        <v>10</v>
      </c>
      <c r="EL39" s="102">
        <v>1</v>
      </c>
      <c r="EN39" s="102"/>
      <c r="EO39" s="102">
        <v>9</v>
      </c>
      <c r="EP39" s="102">
        <v>1</v>
      </c>
      <c r="EQ39" s="102"/>
      <c r="ER39" s="102">
        <v>10</v>
      </c>
      <c r="ES39" s="102">
        <v>1</v>
      </c>
      <c r="EU39" s="102"/>
      <c r="EV39" s="102">
        <v>9</v>
      </c>
      <c r="EW39" s="102">
        <v>1</v>
      </c>
      <c r="EX39" s="102"/>
      <c r="EY39" s="102">
        <v>10</v>
      </c>
      <c r="EZ39" s="102">
        <v>1</v>
      </c>
      <c r="FB39" s="102"/>
      <c r="FC39" s="102">
        <v>9</v>
      </c>
      <c r="FD39" s="102">
        <v>1</v>
      </c>
      <c r="FE39" s="102"/>
      <c r="FF39" s="102">
        <v>10</v>
      </c>
      <c r="FG39" s="102">
        <v>1</v>
      </c>
      <c r="FI39" s="102"/>
      <c r="FJ39" s="102">
        <v>9</v>
      </c>
      <c r="FK39" s="102">
        <v>1</v>
      </c>
      <c r="FL39" s="102"/>
      <c r="FM39" s="102">
        <v>10</v>
      </c>
      <c r="FN39" s="102">
        <v>1</v>
      </c>
      <c r="FP39" s="102"/>
      <c r="FQ39" s="102">
        <v>9</v>
      </c>
      <c r="FR39" s="102">
        <v>1</v>
      </c>
      <c r="FS39" s="102"/>
      <c r="FT39" s="102">
        <v>10</v>
      </c>
      <c r="FU39" s="102">
        <v>1</v>
      </c>
      <c r="FW39" s="102"/>
      <c r="FX39" s="102">
        <v>9</v>
      </c>
      <c r="FY39" s="102">
        <v>1</v>
      </c>
      <c r="FZ39" s="102"/>
      <c r="GA39" s="102">
        <v>10</v>
      </c>
      <c r="GB39" s="102">
        <v>1</v>
      </c>
      <c r="GD39" s="102"/>
      <c r="GE39" s="102">
        <v>9</v>
      </c>
      <c r="GF39" s="102">
        <v>1</v>
      </c>
      <c r="GG39" s="102"/>
      <c r="GH39" s="102">
        <v>10</v>
      </c>
      <c r="GI39" s="102">
        <v>1</v>
      </c>
      <c r="GK39" s="102"/>
      <c r="GL39" s="102">
        <v>9</v>
      </c>
      <c r="GM39" s="102">
        <v>1</v>
      </c>
      <c r="GN39" s="102"/>
      <c r="GO39" s="102">
        <v>10</v>
      </c>
      <c r="GP39" s="102">
        <v>1</v>
      </c>
      <c r="GR39" s="102"/>
      <c r="GS39" s="102">
        <v>9</v>
      </c>
      <c r="GT39" s="102">
        <v>1</v>
      </c>
      <c r="GU39" s="102"/>
      <c r="GV39" s="102">
        <v>10</v>
      </c>
      <c r="GW39" s="102">
        <v>1</v>
      </c>
      <c r="GY39" s="102"/>
      <c r="GZ39" s="102">
        <v>9</v>
      </c>
      <c r="HA39" s="102">
        <v>1</v>
      </c>
      <c r="HB39" s="102"/>
      <c r="HC39" s="102">
        <v>10</v>
      </c>
      <c r="HD39" s="102">
        <v>1</v>
      </c>
      <c r="HF39" s="102"/>
      <c r="HG39" s="102">
        <v>9</v>
      </c>
      <c r="HH39" s="102">
        <v>1</v>
      </c>
      <c r="HI39" s="102"/>
      <c r="HJ39" s="102">
        <v>10</v>
      </c>
      <c r="HK39" s="102">
        <v>1</v>
      </c>
      <c r="HM39" s="102"/>
      <c r="HN39" s="102">
        <v>9</v>
      </c>
      <c r="HO39" s="102">
        <v>1</v>
      </c>
      <c r="HP39" s="102"/>
      <c r="HQ39" s="102">
        <v>10</v>
      </c>
      <c r="HR39" s="102">
        <v>1</v>
      </c>
      <c r="HT39" s="102"/>
      <c r="HU39" s="102">
        <v>9</v>
      </c>
      <c r="HV39" s="102">
        <v>1</v>
      </c>
      <c r="HW39" s="102"/>
      <c r="HX39" s="102">
        <v>10</v>
      </c>
      <c r="HY39" s="102">
        <v>1</v>
      </c>
      <c r="IA39" s="102"/>
      <c r="IB39" s="102">
        <v>9</v>
      </c>
      <c r="IC39" s="102">
        <v>1</v>
      </c>
      <c r="ID39" s="102"/>
      <c r="IE39" s="102">
        <v>10</v>
      </c>
      <c r="IF39" s="102">
        <v>1</v>
      </c>
      <c r="IH39" s="102"/>
      <c r="II39" s="102">
        <v>9</v>
      </c>
      <c r="IJ39" s="102">
        <v>1</v>
      </c>
      <c r="IK39" s="102"/>
      <c r="IL39" s="102">
        <v>10</v>
      </c>
      <c r="IM39" s="102">
        <v>1</v>
      </c>
      <c r="IO39" s="102"/>
      <c r="IP39" s="102">
        <v>9</v>
      </c>
      <c r="IQ39" s="102">
        <v>1</v>
      </c>
      <c r="IR39" s="102"/>
      <c r="IS39" s="102">
        <v>10</v>
      </c>
      <c r="IT39" s="102">
        <v>1</v>
      </c>
    </row>
  </sheetData>
  <mergeCells count="291">
    <mergeCell ref="GK30:GM30"/>
    <mergeCell ref="GR30:GT30"/>
    <mergeCell ref="GY30:HA30"/>
    <mergeCell ref="HF30:HH30"/>
    <mergeCell ref="HM30:HO30"/>
    <mergeCell ref="HT30:HV30"/>
    <mergeCell ref="IA30:IC30"/>
    <mergeCell ref="IH30:IJ30"/>
    <mergeCell ref="IO30:IQ30"/>
    <mergeCell ref="DZ30:EB30"/>
    <mergeCell ref="EG30:EI30"/>
    <mergeCell ref="EN30:EP30"/>
    <mergeCell ref="EU30:EW30"/>
    <mergeCell ref="FB30:FD30"/>
    <mergeCell ref="FI30:FK30"/>
    <mergeCell ref="FP30:FR30"/>
    <mergeCell ref="FW30:FY30"/>
    <mergeCell ref="GD30:GF30"/>
    <mergeCell ref="BO30:BQ30"/>
    <mergeCell ref="BV30:BX30"/>
    <mergeCell ref="CC30:CE30"/>
    <mergeCell ref="CJ30:CL30"/>
    <mergeCell ref="CQ30:CS30"/>
    <mergeCell ref="CX30:CZ30"/>
    <mergeCell ref="DE30:DG30"/>
    <mergeCell ref="DL30:DN30"/>
    <mergeCell ref="DS30:DU30"/>
    <mergeCell ref="D30:F30"/>
    <mergeCell ref="K30:M30"/>
    <mergeCell ref="R30:T30"/>
    <mergeCell ref="Y30:AA30"/>
    <mergeCell ref="AF30:AH30"/>
    <mergeCell ref="AM30:AO30"/>
    <mergeCell ref="AT30:AV30"/>
    <mergeCell ref="BA30:BC30"/>
    <mergeCell ref="BH30:BJ30"/>
    <mergeCell ref="GK29:GM29"/>
    <mergeCell ref="GR29:GT29"/>
    <mergeCell ref="GY29:HA29"/>
    <mergeCell ref="HF29:HH29"/>
    <mergeCell ref="HM29:HO29"/>
    <mergeCell ref="HT29:HV29"/>
    <mergeCell ref="IA29:IC29"/>
    <mergeCell ref="IH29:IJ29"/>
    <mergeCell ref="IO29:IQ29"/>
    <mergeCell ref="DZ29:EB29"/>
    <mergeCell ref="EG29:EI29"/>
    <mergeCell ref="EN29:EP29"/>
    <mergeCell ref="EU29:EW29"/>
    <mergeCell ref="FB29:FD29"/>
    <mergeCell ref="FI29:FK29"/>
    <mergeCell ref="FP29:FR29"/>
    <mergeCell ref="FW29:FY29"/>
    <mergeCell ref="GD29:GF29"/>
    <mergeCell ref="BO29:BQ29"/>
    <mergeCell ref="BV29:BX29"/>
    <mergeCell ref="CC29:CE29"/>
    <mergeCell ref="CJ29:CL29"/>
    <mergeCell ref="CQ29:CS29"/>
    <mergeCell ref="CX29:CZ29"/>
    <mergeCell ref="DE29:DG29"/>
    <mergeCell ref="DL29:DN29"/>
    <mergeCell ref="DS29:DU29"/>
    <mergeCell ref="D29:F29"/>
    <mergeCell ref="K29:M29"/>
    <mergeCell ref="R29:T29"/>
    <mergeCell ref="Y29:AA29"/>
    <mergeCell ref="AF29:AH29"/>
    <mergeCell ref="AM29:AO29"/>
    <mergeCell ref="AT29:AV29"/>
    <mergeCell ref="BA29:BC29"/>
    <mergeCell ref="BH29:BJ29"/>
    <mergeCell ref="GK28:GM28"/>
    <mergeCell ref="GR28:GT28"/>
    <mergeCell ref="GY28:HA28"/>
    <mergeCell ref="HF28:HH28"/>
    <mergeCell ref="HM28:HO28"/>
    <mergeCell ref="HT28:HV28"/>
    <mergeCell ref="IA28:IC28"/>
    <mergeCell ref="IH28:IJ28"/>
    <mergeCell ref="IO28:IQ28"/>
    <mergeCell ref="DZ28:EB28"/>
    <mergeCell ref="EG28:EI28"/>
    <mergeCell ref="EN28:EP28"/>
    <mergeCell ref="EU28:EW28"/>
    <mergeCell ref="FB28:FD28"/>
    <mergeCell ref="FI28:FK28"/>
    <mergeCell ref="FP28:FR28"/>
    <mergeCell ref="FW28:FY28"/>
    <mergeCell ref="GD28:GF28"/>
    <mergeCell ref="BO28:BQ28"/>
    <mergeCell ref="BV28:BX28"/>
    <mergeCell ref="CC28:CE28"/>
    <mergeCell ref="CJ28:CL28"/>
    <mergeCell ref="CQ28:CS28"/>
    <mergeCell ref="CX28:CZ28"/>
    <mergeCell ref="DE28:DG28"/>
    <mergeCell ref="DL28:DN28"/>
    <mergeCell ref="DS28:DU28"/>
    <mergeCell ref="D28:F28"/>
    <mergeCell ref="K28:M28"/>
    <mergeCell ref="R28:T28"/>
    <mergeCell ref="Y28:AA28"/>
    <mergeCell ref="AF28:AH28"/>
    <mergeCell ref="AM28:AO28"/>
    <mergeCell ref="AT28:AV28"/>
    <mergeCell ref="BA28:BC28"/>
    <mergeCell ref="BH28:BJ28"/>
    <mergeCell ref="GK21:GP21"/>
    <mergeCell ref="GR21:GW21"/>
    <mergeCell ref="GY21:HD21"/>
    <mergeCell ref="HF21:HK21"/>
    <mergeCell ref="HM21:HR21"/>
    <mergeCell ref="HT21:HY21"/>
    <mergeCell ref="IA21:IF21"/>
    <mergeCell ref="IH21:IM21"/>
    <mergeCell ref="IO21:IT21"/>
    <mergeCell ref="DZ21:EE21"/>
    <mergeCell ref="EG21:EL21"/>
    <mergeCell ref="EN21:ES21"/>
    <mergeCell ref="EU21:EZ21"/>
    <mergeCell ref="FB21:FG21"/>
    <mergeCell ref="FI21:FN21"/>
    <mergeCell ref="FP21:FU21"/>
    <mergeCell ref="FW21:GB21"/>
    <mergeCell ref="GD21:GI21"/>
    <mergeCell ref="BO21:BT21"/>
    <mergeCell ref="BV21:CA21"/>
    <mergeCell ref="CC21:CH21"/>
    <mergeCell ref="CJ21:CO21"/>
    <mergeCell ref="CQ21:CV21"/>
    <mergeCell ref="CX21:DC21"/>
    <mergeCell ref="DE21:DJ21"/>
    <mergeCell ref="DL21:DQ21"/>
    <mergeCell ref="DS21:DX21"/>
    <mergeCell ref="D21:I21"/>
    <mergeCell ref="K21:P21"/>
    <mergeCell ref="R21:W21"/>
    <mergeCell ref="Y21:AD21"/>
    <mergeCell ref="AF21:AK21"/>
    <mergeCell ref="AM21:AR21"/>
    <mergeCell ref="AT21:AY21"/>
    <mergeCell ref="BA21:BF21"/>
    <mergeCell ref="BH21:BM21"/>
    <mergeCell ref="GK17:GP17"/>
    <mergeCell ref="GR17:GW17"/>
    <mergeCell ref="GY17:HD17"/>
    <mergeCell ref="HF17:HK17"/>
    <mergeCell ref="HM17:HR17"/>
    <mergeCell ref="HT17:HY17"/>
    <mergeCell ref="IA17:IF17"/>
    <mergeCell ref="IH17:IM17"/>
    <mergeCell ref="IO17:IT17"/>
    <mergeCell ref="DZ17:EE17"/>
    <mergeCell ref="EG17:EL17"/>
    <mergeCell ref="EN17:ES17"/>
    <mergeCell ref="EU17:EZ17"/>
    <mergeCell ref="FB17:FG17"/>
    <mergeCell ref="FI17:FN17"/>
    <mergeCell ref="FP17:FU17"/>
    <mergeCell ref="FW17:GB17"/>
    <mergeCell ref="GD17:GI17"/>
    <mergeCell ref="IA7:IC7"/>
    <mergeCell ref="ID7:IF7"/>
    <mergeCell ref="IH7:IJ7"/>
    <mergeCell ref="IK7:IM7"/>
    <mergeCell ref="IO7:IQ7"/>
    <mergeCell ref="IR7:IT7"/>
    <mergeCell ref="D17:I17"/>
    <mergeCell ref="K17:P17"/>
    <mergeCell ref="R17:W17"/>
    <mergeCell ref="Y17:AD17"/>
    <mergeCell ref="AF17:AK17"/>
    <mergeCell ref="AM17:AR17"/>
    <mergeCell ref="AT17:AY17"/>
    <mergeCell ref="BA17:BF17"/>
    <mergeCell ref="BH17:BM17"/>
    <mergeCell ref="BO17:BT17"/>
    <mergeCell ref="BV17:CA17"/>
    <mergeCell ref="CC17:CH17"/>
    <mergeCell ref="CJ17:CO17"/>
    <mergeCell ref="CQ17:CV17"/>
    <mergeCell ref="CX17:DC17"/>
    <mergeCell ref="DE17:DJ17"/>
    <mergeCell ref="DL17:DQ17"/>
    <mergeCell ref="DS17:DX17"/>
    <mergeCell ref="GU7:GW7"/>
    <mergeCell ref="GY7:HA7"/>
    <mergeCell ref="HB7:HD7"/>
    <mergeCell ref="HF7:HH7"/>
    <mergeCell ref="HI7:HK7"/>
    <mergeCell ref="HM7:HO7"/>
    <mergeCell ref="HP7:HR7"/>
    <mergeCell ref="HT7:HV7"/>
    <mergeCell ref="HW7:HY7"/>
    <mergeCell ref="FP7:FR7"/>
    <mergeCell ref="FS7:FU7"/>
    <mergeCell ref="FW7:FY7"/>
    <mergeCell ref="FZ7:GB7"/>
    <mergeCell ref="GD7:GF7"/>
    <mergeCell ref="GG7:GI7"/>
    <mergeCell ref="GK7:GM7"/>
    <mergeCell ref="GN7:GP7"/>
    <mergeCell ref="GR7:GT7"/>
    <mergeCell ref="EJ7:EL7"/>
    <mergeCell ref="EN7:EP7"/>
    <mergeCell ref="EQ7:ES7"/>
    <mergeCell ref="EU7:EW7"/>
    <mergeCell ref="EX7:EZ7"/>
    <mergeCell ref="FB7:FD7"/>
    <mergeCell ref="FE7:FG7"/>
    <mergeCell ref="FI7:FK7"/>
    <mergeCell ref="FL7:FN7"/>
    <mergeCell ref="DE7:DG7"/>
    <mergeCell ref="DH7:DJ7"/>
    <mergeCell ref="DL7:DN7"/>
    <mergeCell ref="DO7:DQ7"/>
    <mergeCell ref="DS7:DU7"/>
    <mergeCell ref="DV7:DX7"/>
    <mergeCell ref="DZ7:EB7"/>
    <mergeCell ref="EC7:EE7"/>
    <mergeCell ref="EG7:EI7"/>
    <mergeCell ref="BY7:CA7"/>
    <mergeCell ref="CC7:CE7"/>
    <mergeCell ref="CF7:CH7"/>
    <mergeCell ref="CJ7:CL7"/>
    <mergeCell ref="CM7:CO7"/>
    <mergeCell ref="CQ7:CS7"/>
    <mergeCell ref="CT7:CV7"/>
    <mergeCell ref="CX7:CZ7"/>
    <mergeCell ref="DA7:DC7"/>
    <mergeCell ref="IA5:IC5"/>
    <mergeCell ref="IH5:IJ5"/>
    <mergeCell ref="IO5:IQ5"/>
    <mergeCell ref="D7:F7"/>
    <mergeCell ref="G7:I7"/>
    <mergeCell ref="K7:M7"/>
    <mergeCell ref="N7:P7"/>
    <mergeCell ref="R7:T7"/>
    <mergeCell ref="U7:W7"/>
    <mergeCell ref="Y7:AA7"/>
    <mergeCell ref="AB7:AD7"/>
    <mergeCell ref="AF7:AH7"/>
    <mergeCell ref="AI7:AK7"/>
    <mergeCell ref="AM7:AO7"/>
    <mergeCell ref="AP7:AR7"/>
    <mergeCell ref="AT7:AV7"/>
    <mergeCell ref="AW7:AY7"/>
    <mergeCell ref="BA7:BC7"/>
    <mergeCell ref="BD7:BF7"/>
    <mergeCell ref="BH7:BJ7"/>
    <mergeCell ref="BK7:BM7"/>
    <mergeCell ref="BO7:BQ7"/>
    <mergeCell ref="BR7:BT7"/>
    <mergeCell ref="BV7:BX7"/>
    <mergeCell ref="FP5:FR5"/>
    <mergeCell ref="FW5:FY5"/>
    <mergeCell ref="GD5:GF5"/>
    <mergeCell ref="GK5:GM5"/>
    <mergeCell ref="GR5:GT5"/>
    <mergeCell ref="GY5:HA5"/>
    <mergeCell ref="HF5:HH5"/>
    <mergeCell ref="HM5:HO5"/>
    <mergeCell ref="HT5:HV5"/>
    <mergeCell ref="DE5:DG5"/>
    <mergeCell ref="DL5:DN5"/>
    <mergeCell ref="DS5:DU5"/>
    <mergeCell ref="DZ5:EB5"/>
    <mergeCell ref="EG5:EI5"/>
    <mergeCell ref="EN5:EP5"/>
    <mergeCell ref="EU5:EW5"/>
    <mergeCell ref="FB5:FD5"/>
    <mergeCell ref="FI5:FK5"/>
    <mergeCell ref="AT5:AV5"/>
    <mergeCell ref="BA5:BC5"/>
    <mergeCell ref="BH5:BJ5"/>
    <mergeCell ref="BO5:BQ5"/>
    <mergeCell ref="BV5:BX5"/>
    <mergeCell ref="CC5:CE5"/>
    <mergeCell ref="CJ5:CL5"/>
    <mergeCell ref="CQ5:CS5"/>
    <mergeCell ref="CX5:CZ5"/>
    <mergeCell ref="A1:B1"/>
    <mergeCell ref="A2:B2"/>
    <mergeCell ref="A4:B4"/>
    <mergeCell ref="D5:F5"/>
    <mergeCell ref="K5:M5"/>
    <mergeCell ref="R5:T5"/>
    <mergeCell ref="Y5:AA5"/>
    <mergeCell ref="AF5:AH5"/>
    <mergeCell ref="AM5:AO5"/>
  </mergeCells>
  <pageMargins left="0.75" right="0.75" top="1" bottom="1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737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72</vt:i4>
      </vt:variant>
    </vt:vector>
  </HeadingPairs>
  <TitlesOfParts>
    <vt:vector size="79" baseType="lpstr">
      <vt:lpstr>ReadMe</vt:lpstr>
      <vt:lpstr>TRFsetup</vt:lpstr>
      <vt:lpstr>TRFdata</vt:lpstr>
      <vt:lpstr>DIR1count</vt:lpstr>
      <vt:lpstr>DIR2count</vt:lpstr>
      <vt:lpstr>Trarr TSE</vt:lpstr>
      <vt:lpstr>TRFwsht</vt:lpstr>
      <vt:lpstr>_TN1</vt:lpstr>
      <vt:lpstr>_TN10</vt:lpstr>
      <vt:lpstr>_TN11</vt:lpstr>
      <vt:lpstr>_TN12</vt:lpstr>
      <vt:lpstr>_TN13</vt:lpstr>
      <vt:lpstr>_TN14</vt:lpstr>
      <vt:lpstr>_TN15</vt:lpstr>
      <vt:lpstr>_TN16</vt:lpstr>
      <vt:lpstr>_TN17</vt:lpstr>
      <vt:lpstr>_TN18</vt:lpstr>
      <vt:lpstr>_TN19</vt:lpstr>
      <vt:lpstr>_TN2</vt:lpstr>
      <vt:lpstr>_TN20</vt:lpstr>
      <vt:lpstr>_TN21</vt:lpstr>
      <vt:lpstr>_TN22</vt:lpstr>
      <vt:lpstr>_TN23</vt:lpstr>
      <vt:lpstr>_TN24</vt:lpstr>
      <vt:lpstr>_TN25</vt:lpstr>
      <vt:lpstr>_TN26</vt:lpstr>
      <vt:lpstr>_TN27</vt:lpstr>
      <vt:lpstr>_TN28</vt:lpstr>
      <vt:lpstr>_TN29</vt:lpstr>
      <vt:lpstr>_TN3</vt:lpstr>
      <vt:lpstr>_TN30</vt:lpstr>
      <vt:lpstr>_TN31</vt:lpstr>
      <vt:lpstr>_TN32</vt:lpstr>
      <vt:lpstr>_TN33</vt:lpstr>
      <vt:lpstr>_TN34</vt:lpstr>
      <vt:lpstr>_TN35</vt:lpstr>
      <vt:lpstr>_TN36</vt:lpstr>
      <vt:lpstr>_TN4</vt:lpstr>
      <vt:lpstr>_TN5</vt:lpstr>
      <vt:lpstr>_TN6</vt:lpstr>
      <vt:lpstr>_TN7</vt:lpstr>
      <vt:lpstr>_TN8</vt:lpstr>
      <vt:lpstr>_TN9</vt:lpstr>
      <vt:lpstr>_TS1</vt:lpstr>
      <vt:lpstr>_TS10</vt:lpstr>
      <vt:lpstr>_TS11</vt:lpstr>
      <vt:lpstr>_TS12</vt:lpstr>
      <vt:lpstr>_TS13</vt:lpstr>
      <vt:lpstr>_TS14</vt:lpstr>
      <vt:lpstr>_TS15</vt:lpstr>
      <vt:lpstr>_TS16</vt:lpstr>
      <vt:lpstr>_TS17</vt:lpstr>
      <vt:lpstr>_TS18</vt:lpstr>
      <vt:lpstr>_TS19</vt:lpstr>
      <vt:lpstr>_TS2</vt:lpstr>
      <vt:lpstr>_TS20</vt:lpstr>
      <vt:lpstr>_TS21</vt:lpstr>
      <vt:lpstr>_TS22</vt:lpstr>
      <vt:lpstr>_TS23</vt:lpstr>
      <vt:lpstr>_TS24</vt:lpstr>
      <vt:lpstr>_TS25</vt:lpstr>
      <vt:lpstr>_TS26</vt:lpstr>
      <vt:lpstr>_TS27</vt:lpstr>
      <vt:lpstr>_TS28</vt:lpstr>
      <vt:lpstr>_TS29</vt:lpstr>
      <vt:lpstr>_TS3</vt:lpstr>
      <vt:lpstr>_TS30</vt:lpstr>
      <vt:lpstr>_TS31</vt:lpstr>
      <vt:lpstr>_TS32</vt:lpstr>
      <vt:lpstr>_TS33</vt:lpstr>
      <vt:lpstr>_TS34</vt:lpstr>
      <vt:lpstr>_TS35</vt:lpstr>
      <vt:lpstr>_TS36</vt:lpstr>
      <vt:lpstr>_TS4</vt:lpstr>
      <vt:lpstr>_TS5</vt:lpstr>
      <vt:lpstr>_TS6</vt:lpstr>
      <vt:lpstr>_TS7</vt:lpstr>
      <vt:lpstr>_TS8</vt:lpstr>
      <vt:lpstr>_TS9</vt:lpstr>
    </vt:vector>
  </TitlesOfParts>
  <Company>NSW Roads &amp; Traffic Authority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IRONS Neale M</dc:creator>
  <cp:lastModifiedBy>IRONS Neale M</cp:lastModifiedBy>
  <cp:revision>5</cp:revision>
  <cp:lastPrinted>2018-01-18T02:56:00Z</cp:lastPrinted>
  <dcterms:created xsi:type="dcterms:W3CDTF">2014-10-30T03:29:36Z</dcterms:created>
  <dcterms:modified xsi:type="dcterms:W3CDTF">2018-05-29T04:16:30Z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NSW Roads &amp; Traffic Authority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AdHocReviewCycleID">
    <vt:i4>1101866075</vt:i4>
  </property>
  <property fmtid="{D5CDD505-2E9C-101B-9397-08002B2CF9AE}" pid="10" name="_AuthorEmail">
    <vt:lpwstr>Neale.IRONS@rms.nsw.gov.au</vt:lpwstr>
  </property>
  <property fmtid="{D5CDD505-2E9C-101B-9397-08002B2CF9AE}" pid="11" name="_AuthorEmailDisplayName">
    <vt:lpwstr>IRONS Neale M</vt:lpwstr>
  </property>
  <property fmtid="{D5CDD505-2E9C-101B-9397-08002B2CF9AE}" pid="12" name="_EmailSubject">
    <vt:lpwstr>Trarr Files</vt:lpwstr>
  </property>
  <property fmtid="{D5CDD505-2E9C-101B-9397-08002B2CF9AE}" pid="13" name="_NewReviewCycle">
    <vt:lpwstr/>
  </property>
  <property fmtid="{D5CDD505-2E9C-101B-9397-08002B2CF9AE}" pid="14" name="_PreviousAdHocReviewCycleID">
    <vt:i4>-1176586839</vt:i4>
  </property>
  <property fmtid="{D5CDD505-2E9C-101B-9397-08002B2CF9AE}" pid="15" name="_ReviewingToolsShownOnce">
    <vt:lpwstr/>
  </property>
</Properties>
</file>