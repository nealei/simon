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_rels/sheet3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template.macroEnabled.main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vbaProject.bin" ContentType="application/vnd.ms-office.vbaProject"/>
  <Override PartName="/xl/drawings/vmlDrawing1.vml" ContentType="application/vnd.openxmlformats-officedocument.vmlDrawing"/>
  <Override PartName="/xl/drawings/drawing1.xml" ContentType="application/vnd.openxmlformats-officedocument.drawing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ReadMe" sheetId="1" state="visible" r:id="rId3"/>
    <sheet name="TRFsetup" sheetId="2" state="visible" r:id="rId4"/>
    <sheet name="TRFdata" sheetId="3" state="visible" r:id="rId5"/>
    <sheet name="DIR1count" sheetId="4" state="visible" r:id="rId6"/>
    <sheet name="DIR2count" sheetId="5" state="visible" r:id="rId7"/>
    <sheet name="Trarr TSE" sheetId="6" state="visible" r:id="rId8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3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A37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IRONS Neale M:
</t>
        </r>
        <r>
          <rPr>
            <sz val="8"/>
            <color rgb="FF000000"/>
            <rFont val="Tahoma"/>
            <family val="2"/>
            <charset val="1"/>
          </rPr>
          <t xml:space="preserve">Value depends on road length.</t>
        </r>
      </text>
    </comment>
  </commentList>
</comments>
</file>

<file path=xl/sharedStrings.xml><?xml version="1.0" encoding="utf-8"?>
<sst xmlns="http://schemas.openxmlformats.org/spreadsheetml/2006/main" count="298" uniqueCount="200">
  <si>
    <t xml:space="preserve">Calculate TRARR Traffic Volumes from Class by Hour Traffic Survey</t>
  </si>
  <si>
    <t xml:space="preserve">Ver</t>
  </si>
  <si>
    <t xml:space="preserve">Step</t>
  </si>
  <si>
    <t xml:space="preserve">Instruction</t>
  </si>
  <si>
    <r>
      <rPr>
        <sz val="10"/>
        <rFont val="Arial"/>
        <family val="2"/>
        <charset val="1"/>
      </rPr>
      <t xml:space="preserve">Paste hourly Vehicle Class Time matrix for prescribed and counter direction into DIRcount sheets and update TRFsetup traffic count cells. </t>
    </r>
    <r>
      <rPr>
        <b val="true"/>
        <sz val="10"/>
        <rFont val="Arial"/>
        <family val="2"/>
        <charset val="1"/>
      </rPr>
      <t xml:space="preserve">Note:</t>
    </r>
    <r>
      <rPr>
        <sz val="10"/>
        <rFont val="Arial"/>
        <family val="2"/>
        <charset val="1"/>
      </rPr>
      <t xml:space="preserve"> Matrix start cell is a hard-coded relative reference so rows/columns can be inserted/deleted before data is pasted into sheet.</t>
    </r>
  </si>
  <si>
    <t xml:space="preserve">Update time periods if required, eg A, P, D and N for AM Peak, PM peak, Day and Night hours.</t>
  </si>
  <si>
    <t xml:space="preserve">Enter TRFsetup road-section</t>
  </si>
  <si>
    <t xml:space="preserve">Verify total daily traffic volumes against matrix with growth factor in Row 5 of 100%.</t>
  </si>
  <si>
    <t xml:space="preserve">Enter Year, Factor and Growth into Row 5. Survey can be adjusted by a factor to represent section to be modelled.</t>
  </si>
  <si>
    <t xml:space="preserve">Delete seeds and run Random_Seed macro for new dataset or use =RandBetween(0, 999999) copy/paste values</t>
  </si>
  <si>
    <t xml:space="preserve">Enable/Disable seed file creation eg 1/0 or other combinations</t>
  </si>
  <si>
    <t xml:space="preserve">The python program make_trf.py will generate traffic files</t>
  </si>
  <si>
    <t xml:space="preserve">Inputs</t>
  </si>
  <si>
    <t xml:space="preserve">Time of day by vehicle class by direction traffic counts</t>
  </si>
  <si>
    <t xml:space="preserve">Factor to adjust counts to first year of analysis</t>
  </si>
  <si>
    <t xml:space="preserve">Annual growth factor</t>
  </si>
  <si>
    <t xml:space="preserve">Years to be analysed</t>
  </si>
  <si>
    <t xml:space="preserve">Determine daily time periods</t>
  </si>
  <si>
    <t xml:space="preserve">Base filename</t>
  </si>
  <si>
    <t xml:space="preserve">Percent following</t>
  </si>
  <si>
    <t xml:space="preserve">Number of seeds</t>
  </si>
  <si>
    <t xml:space="preserve">Project directory for data files</t>
  </si>
  <si>
    <t xml:space="preserve">Changes</t>
  </si>
  <si>
    <t xml:space="preserve">Template is hard-coded in year blocks of time periods.</t>
  </si>
  <si>
    <t xml:space="preserve">If filename is blank for unused time periods or years TRF files will not be generated</t>
  </si>
  <si>
    <t xml:space="preserve">Process to insert time periods:</t>
  </si>
  <si>
    <t xml:space="preserve"> Insert TRFsetup time period</t>
  </si>
  <si>
    <t xml:space="preserve"> Insert TRFdata column in first year block and subsequent year blocks</t>
  </si>
  <si>
    <t xml:space="preserve"> Highlight adjacent column and drag formula over new column</t>
  </si>
  <si>
    <t xml:space="preserve"> Note: TRFdata first year block uses Array Formulas - Press Ctrl+Shift+Enter.</t>
  </si>
  <si>
    <t xml:space="preserve">Process to insert year blocks:</t>
  </si>
  <si>
    <t xml:space="preserve"> Insert TRFsetup year</t>
  </si>
  <si>
    <t xml:space="preserve"> Copy TRFdata last year block and paste to new position</t>
  </si>
  <si>
    <t xml:space="preserve"> Link TRFdata year to TRFsetup year</t>
  </si>
  <si>
    <t xml:space="preserve">todo</t>
  </si>
  <si>
    <t xml:space="preserve">Blank TRFsetup filename if no time period</t>
  </si>
  <si>
    <t xml:space="preserve">Lookup TRFsetup DIR1 and DIR2 traffic No by hour of day</t>
  </si>
  <si>
    <t xml:space="preserve">Check ReadMe </t>
  </si>
  <si>
    <t xml:space="preserve">Defaults</t>
  </si>
  <si>
    <t xml:space="preserve">TUN   </t>
  </si>
  <si>
    <t xml:space="preserve">TSE   </t>
  </si>
  <si>
    <t xml:space="preserve">tsi   </t>
  </si>
  <si>
    <t xml:space="preserve">OPTION</t>
  </si>
  <si>
    <t xml:space="preserve">DTS1  </t>
  </si>
  <si>
    <t xml:space="preserve">DTS2  </t>
  </si>
  <si>
    <t xml:space="preserve">ppfol1</t>
  </si>
  <si>
    <t xml:space="preserve">ppfol2</t>
  </si>
  <si>
    <t xml:space="preserve">NSTR  </t>
  </si>
  <si>
    <t xml:space="preserve">NSEED0</t>
  </si>
  <si>
    <t xml:space="preserve">ICHECK</t>
  </si>
  <si>
    <t xml:space="preserve">BaseFilename</t>
  </si>
  <si>
    <t xml:space="preserve">MRNoSec</t>
  </si>
  <si>
    <t xml:space="preserve">Traffic Counts</t>
  </si>
  <si>
    <t xml:space="preserve">Sheet</t>
  </si>
  <si>
    <t xml:space="preserve">Matrix starts</t>
  </si>
  <si>
    <t xml:space="preserve">DIR1</t>
  </si>
  <si>
    <t xml:space="preserve">DIR1count</t>
  </si>
  <si>
    <t xml:space="preserve">C14</t>
  </si>
  <si>
    <t xml:space="preserve">DIR2</t>
  </si>
  <si>
    <t xml:space="preserve">DIR2count</t>
  </si>
  <si>
    <t xml:space="preserve">Hour \ Counts</t>
  </si>
  <si>
    <t xml:space="preserve">Period</t>
  </si>
  <si>
    <t xml:space="preserve">Both ways</t>
  </si>
  <si>
    <t xml:space="preserve">Dir1</t>
  </si>
  <si>
    <t xml:space="preserve">Dir2</t>
  </si>
  <si>
    <t xml:space="preserve">N</t>
  </si>
  <si>
    <t xml:space="preserve">D</t>
  </si>
  <si>
    <t xml:space="preserve">A</t>
  </si>
  <si>
    <t xml:space="preserve">P</t>
  </si>
  <si>
    <t xml:space="preserve">Count Year</t>
  </si>
  <si>
    <t xml:space="preserve">Growth%</t>
  </si>
  <si>
    <t xml:space="preserve">Years</t>
  </si>
  <si>
    <t xml:space="preserve">Growth Factor</t>
  </si>
  <si>
    <t xml:space="preserve">Period code</t>
  </si>
  <si>
    <t xml:space="preserve">No</t>
  </si>
  <si>
    <t xml:space="preserve">Description</t>
  </si>
  <si>
    <t xml:space="preserve"> 11-12</t>
  </si>
  <si>
    <t xml:space="preserve"> 12-13</t>
  </si>
  <si>
    <t xml:space="preserve"> 06-18 (excluding Peak)</t>
  </si>
  <si>
    <t xml:space="preserve"> 18-06</t>
  </si>
  <si>
    <t xml:space="preserve">TRFdata</t>
  </si>
  <si>
    <t xml:space="preserve">Year</t>
  </si>
  <si>
    <t xml:space="preserve">Cars 1 (qcar1)</t>
  </si>
  <si>
    <t xml:space="preserve">Car Towing 1 (qct1)</t>
  </si>
  <si>
    <t xml:space="preserve">Rigid / Bus 1 (qrig1)</t>
  </si>
  <si>
    <t xml:space="preserve">Single Artic 1 (qart1)</t>
  </si>
  <si>
    <t xml:space="preserve">B-double 1 (qbdb1)</t>
  </si>
  <si>
    <t xml:space="preserve">Road Train 1 (qrdt1)</t>
  </si>
  <si>
    <t xml:space="preserve">veh/hr</t>
  </si>
  <si>
    <t xml:space="preserve">hr/day</t>
  </si>
  <si>
    <t xml:space="preserve">veh/day</t>
  </si>
  <si>
    <t xml:space="preserve">Cars 2 (qcar2)</t>
  </si>
  <si>
    <t xml:space="preserve">Car Towing 2 (qct2)</t>
  </si>
  <si>
    <t xml:space="preserve">Rigid / Bus 2 (qrig2)</t>
  </si>
  <si>
    <t xml:space="preserve">Single Artic 2 (qart2)</t>
  </si>
  <si>
    <t xml:space="preserve">B-double 2 (qbdb2)</t>
  </si>
  <si>
    <t xml:space="preserve">Road Train 2 (qrdt2)</t>
  </si>
  <si>
    <t xml:space="preserve">2way veh/day</t>
  </si>
  <si>
    <t xml:space="preserve">Qtot</t>
  </si>
  <si>
    <t xml:space="preserve">Sample (vehicles)</t>
  </si>
  <si>
    <t xml:space="preserve">TSI</t>
  </si>
  <si>
    <t xml:space="preserve">TUN</t>
  </si>
  <si>
    <t xml:space="preserve">TSE</t>
  </si>
  <si>
    <t xml:space="preserve">DTS1</t>
  </si>
  <si>
    <t xml:space="preserve">DTS2</t>
  </si>
  <si>
    <t xml:space="preserve">PFOL1</t>
  </si>
  <si>
    <t xml:space="preserve">PFOL2</t>
  </si>
  <si>
    <t xml:space="preserve">NSTR</t>
  </si>
  <si>
    <t xml:space="preserve">ADVGC</t>
  </si>
  <si>
    <t xml:space="preserve">Proportion</t>
  </si>
  <si>
    <t xml:space="preserve">CARS</t>
  </si>
  <si>
    <t xml:space="preserve">CAR TOW</t>
  </si>
  <si>
    <t xml:space="preserve">RIGIDS</t>
  </si>
  <si>
    <t xml:space="preserve">SGLARTC</t>
  </si>
  <si>
    <t xml:space="preserve">DBLARTC</t>
  </si>
  <si>
    <t xml:space="preserve">RDTRAIN</t>
  </si>
  <si>
    <t xml:space="preserve">VMIT</t>
  </si>
  <si>
    <t xml:space="preserve">BOTH WAYS</t>
  </si>
  <si>
    <t xml:space="preserve">Vehicles/hr</t>
  </si>
  <si>
    <t xml:space="preserve">EnableSeed1</t>
  </si>
  <si>
    <t xml:space="preserve">EnableSeed2</t>
  </si>
  <si>
    <t xml:space="preserve">EnableSeed3</t>
  </si>
  <si>
    <t xml:space="preserve">EnableSeed4</t>
  </si>
  <si>
    <t xml:space="preserve">EnableSeed5</t>
  </si>
  <si>
    <t xml:space="preserve">EnableSeed6</t>
  </si>
  <si>
    <t xml:space="preserve">EnableSeed7</t>
  </si>
  <si>
    <t xml:space="preserve">EnableSeed8</t>
  </si>
  <si>
    <t xml:space="preserve">EnableSeed9</t>
  </si>
  <si>
    <t xml:space="preserve">EnableSeed10</t>
  </si>
  <si>
    <t xml:space="preserve">Seed1</t>
  </si>
  <si>
    <t xml:space="preserve">Seed2</t>
  </si>
  <si>
    <t xml:space="preserve">Seed3</t>
  </si>
  <si>
    <t xml:space="preserve">Seed4</t>
  </si>
  <si>
    <t xml:space="preserve">Seed5</t>
  </si>
  <si>
    <t xml:space="preserve">Seed6</t>
  </si>
  <si>
    <t xml:space="preserve">Seed7</t>
  </si>
  <si>
    <t xml:space="preserve">Seed8</t>
  </si>
  <si>
    <t xml:space="preserve">Seed9</t>
  </si>
  <si>
    <t xml:space="preserve">Seed10</t>
  </si>
  <si>
    <t xml:space="preserve">Vehicle Classification Summary</t>
  </si>
  <si>
    <t xml:space="preserve">Road</t>
  </si>
  <si>
    <t xml:space="preserve">(MR78) Olympic Highway </t>
  </si>
  <si>
    <t xml:space="preserve">Survey Week</t>
  </si>
  <si>
    <t xml:space="preserve">Survey Day</t>
  </si>
  <si>
    <t xml:space="preserve">Location</t>
  </si>
  <si>
    <t xml:space="preserve"> Culcairn - 3.2km N of MR331 (Holbrook Rd)  </t>
  </si>
  <si>
    <t xml:space="preserve">Total No. of Vehicles</t>
  </si>
  <si>
    <t xml:space="preserve">Ave Speed</t>
  </si>
  <si>
    <t xml:space="preserve">Site No.</t>
  </si>
  <si>
    <t xml:space="preserve">85%ile Speed</t>
  </si>
  <si>
    <t xml:space="preserve">Direction</t>
  </si>
  <si>
    <t xml:space="preserve">Start Date</t>
  </si>
  <si>
    <t xml:space="preserve">Wed 07/02/18</t>
  </si>
  <si>
    <t xml:space="preserve">Heavy Vehicle %</t>
  </si>
  <si>
    <t xml:space="preserve">End Date</t>
  </si>
  <si>
    <t xml:space="preserve">Wed 14/02/18</t>
  </si>
  <si>
    <t xml:space="preserve">Northbound</t>
  </si>
  <si>
    <t xml:space="preserve">Time</t>
  </si>
  <si>
    <t xml:space="preserve">Vehicle Classification:</t>
  </si>
  <si>
    <t xml:space="preserve">Week 1: 7 day average</t>
  </si>
  <si>
    <t xml:space="preserve">Hourly
Totals</t>
  </si>
  <si>
    <t xml:space="preserve">Speed</t>
  </si>
  <si>
    <t xml:space="preserve">Ave.</t>
  </si>
  <si>
    <t xml:space="preserve">85%ile</t>
  </si>
  <si>
    <t xml:space="preserve">0000-0100</t>
  </si>
  <si>
    <t xml:space="preserve">-</t>
  </si>
  <si>
    <t xml:space="preserve">0100-0200</t>
  </si>
  <si>
    <t xml:space="preserve">0200-0300</t>
  </si>
  <si>
    <t xml:space="preserve">0300-0400</t>
  </si>
  <si>
    <t xml:space="preserve">0400-0500</t>
  </si>
  <si>
    <t xml:space="preserve">0500-0600</t>
  </si>
  <si>
    <t xml:space="preserve">0600-0700</t>
  </si>
  <si>
    <t xml:space="preserve">0700-0800</t>
  </si>
  <si>
    <t xml:space="preserve">0800-0900</t>
  </si>
  <si>
    <t xml:space="preserve">0900-1000</t>
  </si>
  <si>
    <t xml:space="preserve">1000-1100</t>
  </si>
  <si>
    <t xml:space="preserve">1100-1200</t>
  </si>
  <si>
    <t xml:space="preserve">1200-1300</t>
  </si>
  <si>
    <t xml:space="preserve">1300-1400</t>
  </si>
  <si>
    <t xml:space="preserve">1400-1500</t>
  </si>
  <si>
    <t xml:space="preserve">1500-1600</t>
  </si>
  <si>
    <t xml:space="preserve">1600-1700</t>
  </si>
  <si>
    <t xml:space="preserve">1700-1800</t>
  </si>
  <si>
    <t xml:space="preserve">1800-1900</t>
  </si>
  <si>
    <t xml:space="preserve">1900-2000</t>
  </si>
  <si>
    <t xml:space="preserve">2000-2100</t>
  </si>
  <si>
    <t xml:space="preserve">2100-2200</t>
  </si>
  <si>
    <t xml:space="preserve">2200-2300</t>
  </si>
  <si>
    <t xml:space="preserve">2300-2400</t>
  </si>
  <si>
    <t xml:space="preserve">Totals</t>
  </si>
  <si>
    <t xml:space="preserve">Peaks</t>
  </si>
  <si>
    <t xml:space="preserve">0700-0900</t>
  </si>
  <si>
    <t xml:space="preserve">1600-1800</t>
  </si>
  <si>
    <t xml:space="preserve">Off-Peak</t>
  </si>
  <si>
    <t xml:space="preserve">Southbound</t>
  </si>
  <si>
    <t xml:space="preserve">Selecting TRARR TSE (Time Settling down) Value</t>
  </si>
  <si>
    <t xml:space="preserve">Min speed (km/hr)</t>
  </si>
  <si>
    <t xml:space="preserve">Min speed (m/sec)</t>
  </si>
  <si>
    <t xml:space="preserve">Length (km)</t>
  </si>
  <si>
    <t xml:space="preserve">Default</t>
  </si>
</sst>
</file>

<file path=xl/styles.xml><?xml version="1.0" encoding="utf-8"?>
<styleSheet xmlns="http://schemas.openxmlformats.org/spreadsheetml/2006/main">
  <numFmts count="15">
    <numFmt numFmtId="164" formatCode="General"/>
    <numFmt numFmtId="165" formatCode="D/MM/YYYY"/>
    <numFmt numFmtId="166" formatCode="HH:MM"/>
    <numFmt numFmtId="167" formatCode="#,##0"/>
    <numFmt numFmtId="168" formatCode="0%"/>
    <numFmt numFmtId="169" formatCode="0.0%"/>
    <numFmt numFmtId="170" formatCode="0.0"/>
    <numFmt numFmtId="171" formatCode="0"/>
    <numFmt numFmtId="172" formatCode="_-* #,##0.00_-;\-* #,##0.00_-;_-* \-??_-;_-@_-"/>
    <numFmt numFmtId="173" formatCode="_-* #,##0_-;\-* #,##0_-;_-* \-??_-;_-@_-"/>
    <numFmt numFmtId="174" formatCode="0.00"/>
    <numFmt numFmtId="175" formatCode="#,##0.0"/>
    <numFmt numFmtId="176" formatCode="DDD\ DD/MM/YY"/>
    <numFmt numFmtId="177" formatCode="0.00%"/>
    <numFmt numFmtId="178" formatCode="_-* #,##0.0_-;\-* #,##0.0_-;_-* \-??_-;_-@_-"/>
  </numFmts>
  <fonts count="11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b val="true"/>
      <sz val="12"/>
      <name val="Arial"/>
      <family val="2"/>
      <charset val="1"/>
    </font>
    <font>
      <sz val="10"/>
      <name val="Arial"/>
      <family val="2"/>
      <charset val="1"/>
    </font>
    <font>
      <b val="true"/>
      <sz val="8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sz val="9"/>
      <name val="Arial"/>
      <family val="2"/>
      <charset val="1"/>
    </font>
    <font>
      <b val="true"/>
      <sz val="9"/>
      <name val="Arial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CCFFFF"/>
        <bgColor rgb="FFCCFFFF"/>
      </patternFill>
    </fill>
    <fill>
      <patternFill patternType="solid">
        <fgColor rgb="FFFFF9AE"/>
        <bgColor rgb="FFFFFF99"/>
      </patternFill>
    </fill>
    <fill>
      <patternFill patternType="solid">
        <fgColor rgb="FFCCCCCC"/>
        <bgColor rgb="FFCCCCFF"/>
      </patternFill>
    </fill>
    <fill>
      <patternFill patternType="solid">
        <fgColor rgb="FFFFFF99"/>
        <bgColor rgb="FFFFF9AE"/>
      </patternFill>
    </fill>
    <fill>
      <patternFill patternType="solid">
        <fgColor rgb="FFFFFF00"/>
        <bgColor rgb="FFFFFF00"/>
      </patternFill>
    </fill>
  </fills>
  <borders count="27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thin"/>
      <right/>
      <top style="thin"/>
      <bottom style="mediumDashed"/>
      <diagonal/>
    </border>
    <border diagonalUp="false" diagonalDown="false">
      <left style="thin"/>
      <right style="medium"/>
      <top style="thin"/>
      <bottom style="mediumDashed"/>
      <diagonal/>
    </border>
    <border diagonalUp="false" diagonalDown="false">
      <left/>
      <right/>
      <top style="thin"/>
      <bottom style="mediumDashed"/>
      <diagonal/>
    </border>
    <border diagonalUp="false" diagonalDown="false">
      <left style="thin"/>
      <right style="thin"/>
      <top style="thin"/>
      <bottom style="mediumDashed"/>
      <diagonal/>
    </border>
    <border diagonalUp="false" diagonalDown="false">
      <left style="thin"/>
      <right/>
      <top style="mediumDashed"/>
      <bottom style="thin"/>
      <diagonal/>
    </border>
    <border diagonalUp="false" diagonalDown="false">
      <left style="thin"/>
      <right style="thin"/>
      <top style="mediumDashed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72" fontId="6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8" fontId="6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3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top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5" fontId="4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6" fillId="2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6" fillId="2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6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6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5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5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6" borderId="2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5" borderId="2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0" borderId="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0" borderId="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3" fontId="0" fillId="0" borderId="0" xfId="15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15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3" fontId="0" fillId="0" borderId="0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2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0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1" fontId="1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71" fontId="9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71" fontId="10" fillId="0" borderId="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1" fontId="9" fillId="0" borderId="8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1" fontId="9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1" fontId="5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5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10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1" fontId="9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1" fontId="9" fillId="0" borderId="9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1" fontId="10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10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10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71" fontId="0" fillId="0" borderId="9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71" fontId="10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1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9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9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10" fillId="0" borderId="1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1" fontId="9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1" fontId="9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1" fontId="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5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6" fontId="9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6" fontId="9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1" fontId="10" fillId="0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1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9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9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9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10" fillId="0" borderId="1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6" fontId="9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6" fontId="9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1" fontId="10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1" fontId="9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1" fontId="0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1" fontId="0" fillId="0" borderId="12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71" fontId="6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6" fillId="0" borderId="1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6" fillId="0" borderId="15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1" fontId="4" fillId="0" borderId="1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1" fontId="4" fillId="0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1" fontId="6" fillId="0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6" fillId="0" borderId="1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4" fillId="0" borderId="1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6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6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6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6" fillId="0" borderId="1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4" fillId="0" borderId="1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6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6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4" fillId="0" borderId="2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1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71" fontId="6" fillId="0" borderId="2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4" fillId="0" borderId="2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2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2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6" fillId="0" borderId="2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4" fillId="0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2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4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4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4" fillId="0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4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6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4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6" fillId="5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6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dxfs count="108"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FFF9AE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10</xdr:col>
      <xdr:colOff>389520</xdr:colOff>
      <xdr:row>58</xdr:row>
      <xdr:rowOff>18000</xdr:rowOff>
    </xdr:to>
    <xdr:sp>
      <xdr:nvSpPr>
        <xdr:cNvPr id="0" name="CustomShape 1" hidden="1"/>
        <xdr:cNvSpPr/>
      </xdr:nvSpPr>
      <xdr:spPr>
        <a:xfrm>
          <a:off x="0" y="0"/>
          <a:ext cx="10054800" cy="9523800"/>
        </a:xfrm>
        <a:prstGeom prst="rect">
          <a:avLst/>
        </a:prstGeom>
        <a:solidFill>
          <a:srgbClr val="ffffff"/>
        </a:solidFill>
        <a:ln w="9360">
          <a:miter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390240</xdr:colOff>
      <xdr:row>58</xdr:row>
      <xdr:rowOff>18720</xdr:rowOff>
    </xdr:to>
    <xdr:sp>
      <xdr:nvSpPr>
        <xdr:cNvPr id="1" name="CustomShape 1" hidden="1"/>
        <xdr:cNvSpPr/>
      </xdr:nvSpPr>
      <xdr:spPr>
        <a:xfrm>
          <a:off x="0" y="0"/>
          <a:ext cx="10055520" cy="952452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49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75" zeroHeight="false" outlineLevelRow="0" outlineLevelCol="0"/>
  <cols>
    <col collapsed="false" customWidth="true" hidden="false" outlineLevel="0" max="1" min="1" style="1" width="5.14"/>
    <col collapsed="false" customWidth="true" hidden="false" outlineLevel="0" max="2" min="2" style="2" width="89.29"/>
    <col collapsed="false" customWidth="true" hidden="false" outlineLevel="0" max="1025" min="3" style="1" width="8.71"/>
  </cols>
  <sheetData>
    <row r="1" s="3" customFormat="true" ht="15.75" hidden="false" customHeight="false" outlineLevel="0" collapsed="false">
      <c r="B1" s="4" t="s">
        <v>0</v>
      </c>
    </row>
    <row r="2" s="3" customFormat="true" ht="12.75" hidden="false" customHeight="false" outlineLevel="0" collapsed="false">
      <c r="A2" s="3" t="s">
        <v>1</v>
      </c>
      <c r="B2" s="5" t="n">
        <v>43281</v>
      </c>
    </row>
    <row r="3" s="3" customFormat="true" ht="12.75" hidden="false" customHeight="false" outlineLevel="0" collapsed="false">
      <c r="A3" s="3" t="s">
        <v>2</v>
      </c>
      <c r="B3" s="6" t="s">
        <v>3</v>
      </c>
    </row>
    <row r="4" customFormat="false" ht="38.25" hidden="false" customHeight="false" outlineLevel="0" collapsed="false">
      <c r="A4" s="1" t="n">
        <v>1</v>
      </c>
      <c r="B4" s="7" t="s">
        <v>4</v>
      </c>
    </row>
    <row r="5" customFormat="false" ht="12.75" hidden="false" customHeight="false" outlineLevel="0" collapsed="false">
      <c r="A5" s="1" t="n">
        <v>2</v>
      </c>
      <c r="B5" s="7" t="s">
        <v>5</v>
      </c>
    </row>
    <row r="6" customFormat="false" ht="12.75" hidden="false" customHeight="false" outlineLevel="0" collapsed="false">
      <c r="A6" s="1" t="n">
        <v>3</v>
      </c>
      <c r="B6" s="7" t="s">
        <v>6</v>
      </c>
    </row>
    <row r="7" customFormat="false" ht="12.75" hidden="false" customHeight="false" outlineLevel="0" collapsed="false">
      <c r="A7" s="1" t="n">
        <v>4</v>
      </c>
      <c r="B7" s="7" t="s">
        <v>7</v>
      </c>
    </row>
    <row r="8" customFormat="false" ht="25.5" hidden="false" customHeight="false" outlineLevel="0" collapsed="false">
      <c r="A8" s="1" t="n">
        <v>5</v>
      </c>
      <c r="B8" s="7" t="s">
        <v>8</v>
      </c>
    </row>
    <row r="9" customFormat="false" ht="25.5" hidden="false" customHeight="false" outlineLevel="0" collapsed="false">
      <c r="A9" s="1" t="n">
        <v>6</v>
      </c>
      <c r="B9" s="7" t="s">
        <v>9</v>
      </c>
    </row>
    <row r="10" customFormat="false" ht="12.75" hidden="false" customHeight="false" outlineLevel="0" collapsed="false">
      <c r="A10" s="1" t="n">
        <v>7</v>
      </c>
      <c r="B10" s="7" t="s">
        <v>10</v>
      </c>
    </row>
    <row r="11" customFormat="false" ht="12.75" hidden="false" customHeight="false" outlineLevel="0" collapsed="false">
      <c r="A11" s="1" t="n">
        <v>8</v>
      </c>
      <c r="B11" s="7" t="s">
        <v>11</v>
      </c>
    </row>
    <row r="16" customFormat="false" ht="12.75" hidden="false" customHeight="false" outlineLevel="0" collapsed="false">
      <c r="A16" s="3" t="s">
        <v>12</v>
      </c>
    </row>
    <row r="17" customFormat="false" ht="12.75" hidden="false" customHeight="false" outlineLevel="0" collapsed="false">
      <c r="B17" s="7" t="s">
        <v>13</v>
      </c>
    </row>
    <row r="18" customFormat="false" ht="12.75" hidden="false" customHeight="false" outlineLevel="0" collapsed="false">
      <c r="B18" s="7" t="s">
        <v>14</v>
      </c>
    </row>
    <row r="19" customFormat="false" ht="12.75" hidden="false" customHeight="false" outlineLevel="0" collapsed="false">
      <c r="B19" s="7" t="s">
        <v>15</v>
      </c>
    </row>
    <row r="20" customFormat="false" ht="12.75" hidden="false" customHeight="false" outlineLevel="0" collapsed="false">
      <c r="B20" s="7" t="s">
        <v>16</v>
      </c>
    </row>
    <row r="21" customFormat="false" ht="12.75" hidden="false" customHeight="false" outlineLevel="0" collapsed="false">
      <c r="B21" s="7" t="s">
        <v>17</v>
      </c>
    </row>
    <row r="22" customFormat="false" ht="12.75" hidden="false" customHeight="false" outlineLevel="0" collapsed="false">
      <c r="B22" s="7" t="s">
        <v>18</v>
      </c>
    </row>
    <row r="23" customFormat="false" ht="12.75" hidden="false" customHeight="false" outlineLevel="0" collapsed="false">
      <c r="B23" s="7" t="s">
        <v>19</v>
      </c>
    </row>
    <row r="24" customFormat="false" ht="12.75" hidden="false" customHeight="false" outlineLevel="0" collapsed="false">
      <c r="B24" s="7" t="s">
        <v>20</v>
      </c>
    </row>
    <row r="25" customFormat="false" ht="12.75" hidden="false" customHeight="false" outlineLevel="0" collapsed="false">
      <c r="B25" s="7" t="s">
        <v>21</v>
      </c>
    </row>
    <row r="30" customFormat="false" ht="12.75" hidden="false" customHeight="false" outlineLevel="0" collapsed="false">
      <c r="A30" s="3" t="s">
        <v>22</v>
      </c>
    </row>
    <row r="31" customFormat="false" ht="12.75" hidden="false" customHeight="false" outlineLevel="0" collapsed="false">
      <c r="B31" s="7" t="s">
        <v>23</v>
      </c>
    </row>
    <row r="32" customFormat="false" ht="12.75" hidden="false" customHeight="false" outlineLevel="0" collapsed="false">
      <c r="B32" s="7" t="s">
        <v>24</v>
      </c>
    </row>
    <row r="33" customFormat="false" ht="12.75" hidden="false" customHeight="false" outlineLevel="0" collapsed="false">
      <c r="B33" s="7" t="s">
        <v>25</v>
      </c>
    </row>
    <row r="34" customFormat="false" ht="12.75" hidden="false" customHeight="false" outlineLevel="0" collapsed="false">
      <c r="B34" s="7" t="s">
        <v>26</v>
      </c>
    </row>
    <row r="35" customFormat="false" ht="12.75" hidden="false" customHeight="false" outlineLevel="0" collapsed="false">
      <c r="B35" s="7" t="s">
        <v>27</v>
      </c>
    </row>
    <row r="36" customFormat="false" ht="12.75" hidden="false" customHeight="false" outlineLevel="0" collapsed="false">
      <c r="B36" s="7" t="s">
        <v>28</v>
      </c>
    </row>
    <row r="37" customFormat="false" ht="12.75" hidden="false" customHeight="false" outlineLevel="0" collapsed="false">
      <c r="B37" s="6" t="s">
        <v>29</v>
      </c>
    </row>
    <row r="38" customFormat="false" ht="12.75" hidden="false" customHeight="false" outlineLevel="0" collapsed="false">
      <c r="B38" s="7" t="s">
        <v>30</v>
      </c>
    </row>
    <row r="39" customFormat="false" ht="12.75" hidden="false" customHeight="false" outlineLevel="0" collapsed="false">
      <c r="B39" s="7" t="s">
        <v>31</v>
      </c>
    </row>
    <row r="40" customFormat="false" ht="12.75" hidden="false" customHeight="false" outlineLevel="0" collapsed="false">
      <c r="B40" s="7" t="s">
        <v>32</v>
      </c>
    </row>
    <row r="41" customFormat="false" ht="12.75" hidden="false" customHeight="false" outlineLevel="0" collapsed="false">
      <c r="B41" s="7" t="s">
        <v>33</v>
      </c>
    </row>
    <row r="46" customFormat="false" ht="12.75" hidden="false" customHeight="false" outlineLevel="0" collapsed="false">
      <c r="A46" s="3" t="s">
        <v>34</v>
      </c>
    </row>
    <row r="47" customFormat="false" ht="12.75" hidden="false" customHeight="false" outlineLevel="0" collapsed="false">
      <c r="B47" s="7" t="s">
        <v>35</v>
      </c>
    </row>
    <row r="48" customFormat="false" ht="12.75" hidden="false" customHeight="false" outlineLevel="0" collapsed="false">
      <c r="B48" s="7" t="s">
        <v>36</v>
      </c>
    </row>
    <row r="49" customFormat="false" ht="12.75" hidden="false" customHeight="false" outlineLevel="0" collapsed="false">
      <c r="B49" s="7" t="s">
        <v>37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6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75" zeroHeight="false" outlineLevelRow="0" outlineLevelCol="0"/>
  <cols>
    <col collapsed="false" customWidth="true" hidden="false" outlineLevel="0" max="1" min="1" style="0" width="13.29"/>
    <col collapsed="false" customWidth="true" hidden="false" outlineLevel="0" max="1025" min="2" style="0" width="9.14"/>
  </cols>
  <sheetData>
    <row r="1" customFormat="false" ht="12.75" hidden="false" customHeight="false" outlineLevel="0" collapsed="false">
      <c r="A1" s="8" t="s">
        <v>38</v>
      </c>
    </row>
    <row r="3" customFormat="false" ht="12.75" hidden="false" customHeight="false" outlineLevel="0" collapsed="false">
      <c r="A3" s="0" t="s">
        <v>39</v>
      </c>
      <c r="B3" s="0" t="n">
        <v>1</v>
      </c>
    </row>
    <row r="4" customFormat="false" ht="12.75" hidden="false" customHeight="false" outlineLevel="0" collapsed="false">
      <c r="A4" s="0" t="s">
        <v>40</v>
      </c>
      <c r="B4" s="9" t="n">
        <v>10000</v>
      </c>
    </row>
    <row r="5" customFormat="false" ht="12.75" hidden="false" customHeight="false" outlineLevel="0" collapsed="false">
      <c r="A5" s="8" t="s">
        <v>41</v>
      </c>
      <c r="B5" s="10" t="n">
        <v>17656</v>
      </c>
    </row>
    <row r="6" customFormat="false" ht="12.75" hidden="false" customHeight="false" outlineLevel="0" collapsed="false">
      <c r="A6" s="0" t="s">
        <v>42</v>
      </c>
      <c r="B6" s="0" t="n">
        <v>0</v>
      </c>
    </row>
    <row r="7" customFormat="false" ht="12.75" hidden="false" customHeight="false" outlineLevel="0" collapsed="false">
      <c r="A7" s="0" t="s">
        <v>43</v>
      </c>
      <c r="B7" s="0" t="n">
        <v>100</v>
      </c>
    </row>
    <row r="8" customFormat="false" ht="12.75" hidden="false" customHeight="false" outlineLevel="0" collapsed="false">
      <c r="A8" s="0" t="s">
        <v>44</v>
      </c>
      <c r="B8" s="0" t="n">
        <v>100</v>
      </c>
    </row>
    <row r="9" customFormat="false" ht="12.75" hidden="false" customHeight="false" outlineLevel="0" collapsed="false">
      <c r="A9" s="8" t="s">
        <v>45</v>
      </c>
      <c r="B9" s="9" t="n">
        <v>50</v>
      </c>
    </row>
    <row r="10" customFormat="false" ht="12.75" hidden="false" customHeight="false" outlineLevel="0" collapsed="false">
      <c r="A10" s="8" t="s">
        <v>46</v>
      </c>
      <c r="B10" s="9" t="n">
        <v>50</v>
      </c>
    </row>
    <row r="11" customFormat="false" ht="12.75" hidden="false" customHeight="false" outlineLevel="0" collapsed="false">
      <c r="A11" s="0" t="s">
        <v>47</v>
      </c>
      <c r="B11" s="0" t="n">
        <v>6</v>
      </c>
    </row>
    <row r="12" customFormat="false" ht="12.75" hidden="false" customHeight="false" outlineLevel="0" collapsed="false">
      <c r="A12" s="0" t="s">
        <v>48</v>
      </c>
    </row>
    <row r="13" customFormat="false" ht="12.75" hidden="false" customHeight="false" outlineLevel="0" collapsed="false">
      <c r="A13" s="0" t="s">
        <v>49</v>
      </c>
      <c r="B13" s="0" t="n">
        <v>0</v>
      </c>
    </row>
    <row r="16" customFormat="false" ht="12.75" hidden="false" customHeight="false" outlineLevel="0" collapsed="false">
      <c r="A16" s="8" t="s">
        <v>50</v>
      </c>
      <c r="B16" s="9" t="s">
        <v>51</v>
      </c>
    </row>
    <row r="19" customFormat="false" ht="12.75" hidden="false" customHeight="false" outlineLevel="0" collapsed="false">
      <c r="A19" s="8" t="s">
        <v>52</v>
      </c>
      <c r="B19" s="8" t="s">
        <v>53</v>
      </c>
      <c r="C19" s="8" t="s">
        <v>54</v>
      </c>
    </row>
    <row r="20" customFormat="false" ht="12.75" hidden="false" customHeight="false" outlineLevel="0" collapsed="false">
      <c r="A20" s="11" t="s">
        <v>55</v>
      </c>
      <c r="B20" s="11" t="s">
        <v>56</v>
      </c>
      <c r="C20" s="11" t="s">
        <v>57</v>
      </c>
    </row>
    <row r="21" customFormat="false" ht="12.75" hidden="false" customHeight="false" outlineLevel="0" collapsed="false">
      <c r="A21" s="11" t="s">
        <v>58</v>
      </c>
      <c r="B21" s="11" t="s">
        <v>59</v>
      </c>
      <c r="C21" s="11" t="s">
        <v>57</v>
      </c>
    </row>
    <row r="24" customFormat="false" ht="12.75" hidden="false" customHeight="false" outlineLevel="0" collapsed="false">
      <c r="A24" s="8" t="s">
        <v>60</v>
      </c>
      <c r="B24" s="8" t="s">
        <v>61</v>
      </c>
      <c r="C24" s="8" t="s">
        <v>62</v>
      </c>
      <c r="D24" s="8" t="s">
        <v>63</v>
      </c>
      <c r="E24" s="8" t="s">
        <v>64</v>
      </c>
    </row>
    <row r="25" customFormat="false" ht="12.75" hidden="false" customHeight="false" outlineLevel="0" collapsed="false">
      <c r="A25" s="12" t="str">
        <f aca="false">DIR1count!B14</f>
        <v>0000-0100</v>
      </c>
      <c r="B25" s="9" t="s">
        <v>65</v>
      </c>
      <c r="C25" s="13" t="n">
        <f aca="false">SUM(D25:E25)</f>
        <v>0</v>
      </c>
      <c r="D25" s="14" t="n">
        <f aca="false">SUM(DIR1count!C14:N14)</f>
        <v>0</v>
      </c>
      <c r="E25" s="14" t="n">
        <f aca="false">SUM(DIR2count!C14:N14)</f>
        <v>0</v>
      </c>
      <c r="F25" s="15"/>
    </row>
    <row r="26" customFormat="false" ht="12.75" hidden="false" customHeight="false" outlineLevel="0" collapsed="false">
      <c r="A26" s="12" t="str">
        <f aca="false">DIR1count!B15</f>
        <v>0100-0200</v>
      </c>
      <c r="B26" s="9" t="s">
        <v>65</v>
      </c>
      <c r="C26" s="13" t="n">
        <f aca="false">SUM(D26:E26)</f>
        <v>0</v>
      </c>
      <c r="D26" s="14" t="n">
        <f aca="false">SUM(DIR1count!C15:N15)</f>
        <v>0</v>
      </c>
      <c r="E26" s="14" t="n">
        <f aca="false">SUM(DIR2count!C15:N15)</f>
        <v>0</v>
      </c>
    </row>
    <row r="27" customFormat="false" ht="12.75" hidden="false" customHeight="false" outlineLevel="0" collapsed="false">
      <c r="A27" s="12" t="str">
        <f aca="false">DIR1count!B16</f>
        <v>0200-0300</v>
      </c>
      <c r="B27" s="9" t="s">
        <v>65</v>
      </c>
      <c r="C27" s="13" t="n">
        <f aca="false">SUM(D27:E27)</f>
        <v>0</v>
      </c>
      <c r="D27" s="14" t="n">
        <f aca="false">SUM(DIR1count!C16:N16)</f>
        <v>0</v>
      </c>
      <c r="E27" s="14" t="n">
        <f aca="false">SUM(DIR2count!C16:N16)</f>
        <v>0</v>
      </c>
    </row>
    <row r="28" customFormat="false" ht="12.75" hidden="false" customHeight="false" outlineLevel="0" collapsed="false">
      <c r="A28" s="12" t="str">
        <f aca="false">DIR1count!B17</f>
        <v>0300-0400</v>
      </c>
      <c r="B28" s="9" t="s">
        <v>65</v>
      </c>
      <c r="C28" s="13" t="n">
        <f aca="false">SUM(D28:E28)</f>
        <v>0</v>
      </c>
      <c r="D28" s="14" t="n">
        <f aca="false">SUM(DIR1count!C17:N17)</f>
        <v>0</v>
      </c>
      <c r="E28" s="14" t="n">
        <f aca="false">SUM(DIR2count!C17:N17)</f>
        <v>0</v>
      </c>
    </row>
    <row r="29" customFormat="false" ht="12.75" hidden="false" customHeight="false" outlineLevel="0" collapsed="false">
      <c r="A29" s="12" t="str">
        <f aca="false">DIR1count!B18</f>
        <v>0400-0500</v>
      </c>
      <c r="B29" s="9" t="s">
        <v>65</v>
      </c>
      <c r="C29" s="13" t="n">
        <f aca="false">SUM(D29:E29)</f>
        <v>0</v>
      </c>
      <c r="D29" s="14" t="n">
        <f aca="false">SUM(DIR1count!C18:N18)</f>
        <v>0</v>
      </c>
      <c r="E29" s="14" t="n">
        <f aca="false">SUM(DIR2count!C18:N18)</f>
        <v>0</v>
      </c>
    </row>
    <row r="30" customFormat="false" ht="12.75" hidden="false" customHeight="false" outlineLevel="0" collapsed="false">
      <c r="A30" s="12" t="str">
        <f aca="false">DIR1count!B19</f>
        <v>0500-0600</v>
      </c>
      <c r="B30" s="9" t="s">
        <v>65</v>
      </c>
      <c r="C30" s="13" t="n">
        <f aca="false">SUM(D30:E30)</f>
        <v>0</v>
      </c>
      <c r="D30" s="14" t="n">
        <f aca="false">SUM(DIR1count!C19:N19)</f>
        <v>0</v>
      </c>
      <c r="E30" s="14" t="n">
        <f aca="false">SUM(DIR2count!C19:N19)</f>
        <v>0</v>
      </c>
    </row>
    <row r="31" customFormat="false" ht="12.75" hidden="false" customHeight="false" outlineLevel="0" collapsed="false">
      <c r="A31" s="12" t="str">
        <f aca="false">DIR1count!B20</f>
        <v>0600-0700</v>
      </c>
      <c r="B31" s="9" t="s">
        <v>66</v>
      </c>
      <c r="C31" s="15" t="n">
        <f aca="false">SUM(D31:E31)</f>
        <v>0</v>
      </c>
      <c r="D31" s="14" t="n">
        <f aca="false">SUM(DIR1count!C20:N20)</f>
        <v>0</v>
      </c>
      <c r="E31" s="14" t="n">
        <f aca="false">SUM(DIR2count!C20:N20)</f>
        <v>0</v>
      </c>
    </row>
    <row r="32" customFormat="false" ht="12.75" hidden="false" customHeight="false" outlineLevel="0" collapsed="false">
      <c r="A32" s="12" t="str">
        <f aca="false">DIR1count!B21</f>
        <v>0700-0800</v>
      </c>
      <c r="B32" s="9" t="s">
        <v>66</v>
      </c>
      <c r="C32" s="15" t="n">
        <f aca="false">SUM(D32:E32)</f>
        <v>0</v>
      </c>
      <c r="D32" s="14" t="n">
        <f aca="false">SUM(DIR1count!C21:N21)</f>
        <v>0</v>
      </c>
      <c r="E32" s="14" t="n">
        <f aca="false">SUM(DIR2count!C21:N21)</f>
        <v>0</v>
      </c>
    </row>
    <row r="33" customFormat="false" ht="12.75" hidden="false" customHeight="false" outlineLevel="0" collapsed="false">
      <c r="A33" s="12" t="str">
        <f aca="false">DIR1count!B22</f>
        <v>0800-0900</v>
      </c>
      <c r="B33" s="9" t="s">
        <v>66</v>
      </c>
      <c r="C33" s="15" t="n">
        <f aca="false">SUM(D33:E33)</f>
        <v>0</v>
      </c>
      <c r="D33" s="14" t="n">
        <f aca="false">SUM(DIR1count!C22:N22)</f>
        <v>0</v>
      </c>
      <c r="E33" s="14" t="n">
        <f aca="false">SUM(DIR2count!C22:N22)</f>
        <v>0</v>
      </c>
    </row>
    <row r="34" customFormat="false" ht="12.75" hidden="false" customHeight="false" outlineLevel="0" collapsed="false">
      <c r="A34" s="12" t="str">
        <f aca="false">DIR1count!B23</f>
        <v>0900-1000</v>
      </c>
      <c r="B34" s="9" t="s">
        <v>66</v>
      </c>
      <c r="C34" s="15" t="n">
        <f aca="false">SUM(D34:E34)</f>
        <v>0</v>
      </c>
      <c r="D34" s="14" t="n">
        <f aca="false">SUM(DIR1count!C23:N23)</f>
        <v>0</v>
      </c>
      <c r="E34" s="14" t="n">
        <f aca="false">SUM(DIR2count!C23:N23)</f>
        <v>0</v>
      </c>
    </row>
    <row r="35" customFormat="false" ht="12.75" hidden="false" customHeight="false" outlineLevel="0" collapsed="false">
      <c r="A35" s="12" t="str">
        <f aca="false">DIR1count!B24</f>
        <v>1000-1100</v>
      </c>
      <c r="B35" s="9" t="s">
        <v>66</v>
      </c>
      <c r="C35" s="15" t="n">
        <f aca="false">SUM(D35:E35)</f>
        <v>0</v>
      </c>
      <c r="D35" s="14" t="n">
        <f aca="false">SUM(DIR1count!C24:N24)</f>
        <v>0</v>
      </c>
      <c r="E35" s="14" t="n">
        <f aca="false">SUM(DIR2count!C24:N24)</f>
        <v>0</v>
      </c>
    </row>
    <row r="36" customFormat="false" ht="12.75" hidden="false" customHeight="false" outlineLevel="0" collapsed="false">
      <c r="A36" s="12" t="str">
        <f aca="false">DIR1count!B25</f>
        <v>1100-1200</v>
      </c>
      <c r="B36" s="16" t="s">
        <v>67</v>
      </c>
      <c r="C36" s="17" t="n">
        <f aca="false">SUM(D36:E36)</f>
        <v>0</v>
      </c>
      <c r="D36" s="14" t="n">
        <f aca="false">SUM(DIR1count!C25:N25)</f>
        <v>0</v>
      </c>
      <c r="E36" s="14" t="n">
        <f aca="false">SUM(DIR2count!C25:N25)</f>
        <v>0</v>
      </c>
    </row>
    <row r="37" customFormat="false" ht="12.75" hidden="false" customHeight="false" outlineLevel="0" collapsed="false">
      <c r="A37" s="12" t="str">
        <f aca="false">DIR1count!B26</f>
        <v>1200-1300</v>
      </c>
      <c r="B37" s="9" t="s">
        <v>68</v>
      </c>
      <c r="C37" s="18" t="n">
        <f aca="false">SUM(D37:E37)</f>
        <v>0</v>
      </c>
      <c r="D37" s="14" t="n">
        <f aca="false">SUM(DIR1count!C26:N26)</f>
        <v>0</v>
      </c>
      <c r="E37" s="14" t="n">
        <f aca="false">SUM(DIR2count!C26:N26)</f>
        <v>0</v>
      </c>
    </row>
    <row r="38" customFormat="false" ht="12.75" hidden="false" customHeight="false" outlineLevel="0" collapsed="false">
      <c r="A38" s="12" t="str">
        <f aca="false">DIR1count!B27</f>
        <v>1300-1400</v>
      </c>
      <c r="B38" s="9" t="s">
        <v>66</v>
      </c>
      <c r="C38" s="15" t="n">
        <f aca="false">SUM(D38:E38)</f>
        <v>0</v>
      </c>
      <c r="D38" s="14" t="n">
        <f aca="false">SUM(DIR1count!C27:N27)</f>
        <v>0</v>
      </c>
      <c r="E38" s="14" t="n">
        <f aca="false">SUM(DIR2count!C27:N27)</f>
        <v>0</v>
      </c>
    </row>
    <row r="39" customFormat="false" ht="12.75" hidden="false" customHeight="false" outlineLevel="0" collapsed="false">
      <c r="A39" s="12" t="str">
        <f aca="false">DIR1count!B28</f>
        <v>1400-1500</v>
      </c>
      <c r="B39" s="9" t="s">
        <v>66</v>
      </c>
      <c r="C39" s="15" t="n">
        <f aca="false">SUM(D39:E39)</f>
        <v>0</v>
      </c>
      <c r="D39" s="14" t="n">
        <f aca="false">SUM(DIR1count!C28:N28)</f>
        <v>0</v>
      </c>
      <c r="E39" s="14" t="n">
        <f aca="false">SUM(DIR2count!C28:N28)</f>
        <v>0</v>
      </c>
    </row>
    <row r="40" customFormat="false" ht="12.75" hidden="false" customHeight="false" outlineLevel="0" collapsed="false">
      <c r="A40" s="12" t="str">
        <f aca="false">DIR1count!B29</f>
        <v>1500-1600</v>
      </c>
      <c r="B40" s="9" t="s">
        <v>66</v>
      </c>
      <c r="C40" s="15" t="n">
        <f aca="false">SUM(D40:E40)</f>
        <v>0</v>
      </c>
      <c r="D40" s="14" t="n">
        <f aca="false">SUM(DIR1count!C29:N29)</f>
        <v>0</v>
      </c>
      <c r="E40" s="14" t="n">
        <f aca="false">SUM(DIR2count!C29:N29)</f>
        <v>0</v>
      </c>
    </row>
    <row r="41" customFormat="false" ht="12.75" hidden="false" customHeight="false" outlineLevel="0" collapsed="false">
      <c r="A41" s="12" t="str">
        <f aca="false">DIR1count!B30</f>
        <v>1600-1700</v>
      </c>
      <c r="B41" s="9" t="s">
        <v>66</v>
      </c>
      <c r="C41" s="15" t="n">
        <f aca="false">SUM(D41:E41)</f>
        <v>0</v>
      </c>
      <c r="D41" s="14" t="n">
        <f aca="false">SUM(DIR1count!C30:N30)</f>
        <v>0</v>
      </c>
      <c r="E41" s="14" t="n">
        <f aca="false">SUM(DIR2count!C30:N30)</f>
        <v>0</v>
      </c>
    </row>
    <row r="42" customFormat="false" ht="12.75" hidden="false" customHeight="false" outlineLevel="0" collapsed="false">
      <c r="A42" s="12" t="str">
        <f aca="false">DIR1count!B31</f>
        <v>1700-1800</v>
      </c>
      <c r="B42" s="9" t="s">
        <v>66</v>
      </c>
      <c r="C42" s="15" t="n">
        <f aca="false">SUM(D42:E42)</f>
        <v>0</v>
      </c>
      <c r="D42" s="14" t="n">
        <f aca="false">SUM(DIR1count!C31:N31)</f>
        <v>0</v>
      </c>
      <c r="E42" s="14" t="n">
        <f aca="false">SUM(DIR2count!C31:N31)</f>
        <v>0</v>
      </c>
    </row>
    <row r="43" customFormat="false" ht="12.75" hidden="false" customHeight="false" outlineLevel="0" collapsed="false">
      <c r="A43" s="12" t="str">
        <f aca="false">DIR1count!B32</f>
        <v>1800-1900</v>
      </c>
      <c r="B43" s="9" t="s">
        <v>65</v>
      </c>
      <c r="C43" s="13" t="n">
        <f aca="false">SUM(D43:E43)</f>
        <v>0</v>
      </c>
      <c r="D43" s="14" t="n">
        <f aca="false">SUM(DIR1count!C32:N32)</f>
        <v>0</v>
      </c>
      <c r="E43" s="14" t="n">
        <f aca="false">SUM(DIR2count!C32:N32)</f>
        <v>0</v>
      </c>
    </row>
    <row r="44" customFormat="false" ht="12.75" hidden="false" customHeight="false" outlineLevel="0" collapsed="false">
      <c r="A44" s="12" t="str">
        <f aca="false">DIR1count!B33</f>
        <v>1900-2000</v>
      </c>
      <c r="B44" s="9" t="s">
        <v>65</v>
      </c>
      <c r="C44" s="13" t="n">
        <f aca="false">SUM(D44:E44)</f>
        <v>0</v>
      </c>
      <c r="D44" s="14" t="n">
        <f aca="false">SUM(DIR1count!C33:N33)</f>
        <v>0</v>
      </c>
      <c r="E44" s="14" t="n">
        <f aca="false">SUM(DIR2count!C33:N33)</f>
        <v>0</v>
      </c>
    </row>
    <row r="45" customFormat="false" ht="12.75" hidden="false" customHeight="false" outlineLevel="0" collapsed="false">
      <c r="A45" s="12" t="str">
        <f aca="false">DIR1count!B34</f>
        <v>2000-2100</v>
      </c>
      <c r="B45" s="9" t="s">
        <v>65</v>
      </c>
      <c r="C45" s="13" t="n">
        <f aca="false">SUM(D45:E45)</f>
        <v>0</v>
      </c>
      <c r="D45" s="14" t="n">
        <f aca="false">SUM(DIR1count!C34:N34)</f>
        <v>0</v>
      </c>
      <c r="E45" s="14" t="n">
        <f aca="false">SUM(DIR2count!C34:N34)</f>
        <v>0</v>
      </c>
    </row>
    <row r="46" customFormat="false" ht="12.75" hidden="false" customHeight="false" outlineLevel="0" collapsed="false">
      <c r="A46" s="12" t="str">
        <f aca="false">DIR1count!B35</f>
        <v>2100-2200</v>
      </c>
      <c r="B46" s="9" t="s">
        <v>65</v>
      </c>
      <c r="C46" s="13" t="n">
        <f aca="false">SUM(D46:E46)</f>
        <v>0</v>
      </c>
      <c r="D46" s="14" t="n">
        <f aca="false">SUM(DIR1count!C35:N35)</f>
        <v>0</v>
      </c>
      <c r="E46" s="14" t="n">
        <f aca="false">SUM(DIR2count!C35:N35)</f>
        <v>0</v>
      </c>
    </row>
    <row r="47" customFormat="false" ht="12.75" hidden="false" customHeight="false" outlineLevel="0" collapsed="false">
      <c r="A47" s="12" t="str">
        <f aca="false">DIR1count!B36</f>
        <v>2200-2300</v>
      </c>
      <c r="B47" s="9" t="s">
        <v>65</v>
      </c>
      <c r="C47" s="13" t="n">
        <f aca="false">SUM(D47:E47)</f>
        <v>0</v>
      </c>
      <c r="D47" s="14" t="n">
        <f aca="false">SUM(DIR1count!C36:N36)</f>
        <v>0</v>
      </c>
      <c r="E47" s="14" t="n">
        <f aca="false">SUM(DIR2count!C36:N36)</f>
        <v>0</v>
      </c>
    </row>
    <row r="48" customFormat="false" ht="12.75" hidden="false" customHeight="false" outlineLevel="0" collapsed="false">
      <c r="A48" s="12" t="str">
        <f aca="false">DIR1count!B37</f>
        <v>2300-2400</v>
      </c>
      <c r="B48" s="9" t="s">
        <v>65</v>
      </c>
      <c r="C48" s="13" t="n">
        <f aca="false">SUM(D48:E48)</f>
        <v>0</v>
      </c>
      <c r="D48" s="14" t="n">
        <f aca="false">SUM(DIR1count!C37:N37)</f>
        <v>0</v>
      </c>
      <c r="E48" s="14" t="n">
        <f aca="false">SUM(DIR2count!C37:N37)</f>
        <v>0</v>
      </c>
    </row>
    <row r="49" customFormat="false" ht="12.75" hidden="false" customHeight="false" outlineLevel="0" collapsed="false">
      <c r="C49" s="15" t="n">
        <f aca="false">SUM(C25:C48)</f>
        <v>0</v>
      </c>
      <c r="D49" s="15" t="n">
        <f aca="false">SUM(D25:D48)</f>
        <v>0</v>
      </c>
      <c r="E49" s="15" t="n">
        <f aca="false">SUM(E25:E48)</f>
        <v>0</v>
      </c>
    </row>
    <row r="50" customFormat="false" ht="12.75" hidden="false" customHeight="false" outlineLevel="0" collapsed="false">
      <c r="C50" s="15"/>
      <c r="D50" s="15"/>
      <c r="E50" s="15"/>
    </row>
    <row r="51" customFormat="false" ht="12.75" hidden="false" customHeight="false" outlineLevel="0" collapsed="false">
      <c r="A51" s="0" t="s">
        <v>69</v>
      </c>
      <c r="C51" s="15"/>
      <c r="D51" s="15"/>
      <c r="E51" s="15"/>
    </row>
    <row r="52" customFormat="false" ht="12.75" hidden="false" customHeight="false" outlineLevel="0" collapsed="false">
      <c r="A52" s="0" t="s">
        <v>70</v>
      </c>
      <c r="B52" s="19" t="n">
        <v>0.015</v>
      </c>
      <c r="C52" s="15"/>
      <c r="D52" s="15"/>
      <c r="E52" s="15"/>
    </row>
    <row r="54" customFormat="false" ht="12.75" hidden="false" customHeight="false" outlineLevel="0" collapsed="false">
      <c r="A54" s="8" t="s">
        <v>71</v>
      </c>
      <c r="B54" s="8" t="s">
        <v>72</v>
      </c>
    </row>
    <row r="55" customFormat="false" ht="12.75" hidden="false" customHeight="false" outlineLevel="0" collapsed="false">
      <c r="A55" s="0" t="n">
        <v>2018</v>
      </c>
      <c r="B55" s="20" t="n">
        <v>1</v>
      </c>
    </row>
    <row r="56" customFormat="false" ht="12.75" hidden="false" customHeight="false" outlineLevel="0" collapsed="false">
      <c r="A56" s="0" t="n">
        <v>2033</v>
      </c>
      <c r="B56" s="21" t="n">
        <f aca="false">IF($A56,1+($A56-$A$55)*$B$52,0)</f>
        <v>1.225</v>
      </c>
    </row>
    <row r="57" customFormat="false" ht="12.75" hidden="false" customHeight="false" outlineLevel="0" collapsed="false">
      <c r="A57" s="0" t="n">
        <v>2048</v>
      </c>
      <c r="B57" s="21" t="n">
        <f aca="false">IF($A57,1+($A57-$A$55)*$B$52,0)</f>
        <v>1.45</v>
      </c>
      <c r="C57" s="22"/>
    </row>
    <row r="59" customFormat="false" ht="12.75" hidden="false" customHeight="false" outlineLevel="0" collapsed="false">
      <c r="A59" s="8" t="s">
        <v>73</v>
      </c>
      <c r="B59" s="8" t="s">
        <v>74</v>
      </c>
      <c r="C59" s="8" t="s">
        <v>75</v>
      </c>
    </row>
    <row r="60" customFormat="false" ht="12.75" hidden="false" customHeight="false" outlineLevel="0" collapsed="false">
      <c r="A60" s="0" t="s">
        <v>67</v>
      </c>
      <c r="B60" s="0" t="n">
        <f aca="false">COUNTIF($B$25:$B$48,$A60)</f>
        <v>1</v>
      </c>
      <c r="C60" s="9" t="s">
        <v>76</v>
      </c>
    </row>
    <row r="61" customFormat="false" ht="12.75" hidden="false" customHeight="false" outlineLevel="0" collapsed="false">
      <c r="A61" s="0" t="s">
        <v>68</v>
      </c>
      <c r="B61" s="0" t="n">
        <f aca="false">COUNTIF($B$25:$B$48,$A61)</f>
        <v>1</v>
      </c>
      <c r="C61" s="9" t="s">
        <v>77</v>
      </c>
    </row>
    <row r="62" customFormat="false" ht="12.75" hidden="false" customHeight="false" outlineLevel="0" collapsed="false">
      <c r="A62" s="0" t="s">
        <v>66</v>
      </c>
      <c r="B62" s="0" t="n">
        <f aca="false">COUNTIF($B$25:$B$48,$A62)</f>
        <v>10</v>
      </c>
      <c r="C62" s="11" t="s">
        <v>78</v>
      </c>
    </row>
    <row r="63" customFormat="false" ht="12.75" hidden="false" customHeight="false" outlineLevel="0" collapsed="false">
      <c r="A63" s="0" t="s">
        <v>65</v>
      </c>
      <c r="B63" s="0" t="n">
        <f aca="false">COUNTIF($B$25:$B$48,$A63)</f>
        <v>12</v>
      </c>
      <c r="C63" s="11" t="s">
        <v>79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N9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75" zeroHeight="false" outlineLevelRow="0" outlineLevelCol="0"/>
  <cols>
    <col collapsed="false" customWidth="true" hidden="false" outlineLevel="0" max="1" min="1" style="0" width="18"/>
    <col collapsed="false" customWidth="true" hidden="false" outlineLevel="0" max="2" min="2" style="0" width="2.42"/>
    <col collapsed="false" customWidth="true" hidden="false" outlineLevel="0" max="14" min="3" style="0" width="14.57"/>
    <col collapsed="false" customWidth="true" hidden="false" outlineLevel="0" max="1025" min="15" style="0" width="8.71"/>
  </cols>
  <sheetData>
    <row r="1" customFormat="false" ht="15.75" hidden="false" customHeight="false" outlineLevel="0" collapsed="false">
      <c r="A1" s="23" t="s">
        <v>80</v>
      </c>
    </row>
    <row r="3" customFormat="false" ht="12.75" hidden="false" customHeight="false" outlineLevel="0" collapsed="false">
      <c r="A3" s="11" t="str">
        <f aca="false">TRFsetup!B16</f>
        <v>MRNoSec</v>
      </c>
      <c r="C3" s="24" t="str">
        <f aca="false">IF(C$4, $A$3&amp;"_"&amp;C$4&amp;TRFsetup!$A60, "")</f>
        <v>MRNoSec_2018A</v>
      </c>
      <c r="D3" s="24" t="str">
        <f aca="false">IF(D$4, $A$3&amp;"_"&amp;D$4&amp;TRFsetup!$A61, "")</f>
        <v>MRNoSec_2018P</v>
      </c>
      <c r="E3" s="24" t="str">
        <f aca="false">IF(E$4, $A$3&amp;"_"&amp;E$4&amp;TRFsetup!$A62, "")</f>
        <v>MRNoSec_2018D</v>
      </c>
      <c r="F3" s="24" t="str">
        <f aca="false">IF(F$4, $A$3&amp;"_"&amp;F$4&amp;TRFsetup!$A63, "")</f>
        <v>MRNoSec_2018N</v>
      </c>
      <c r="G3" s="24" t="str">
        <f aca="false">IF(G$4, $A$3&amp;"_"&amp;G$4&amp;TRFsetup!$A60, "")</f>
        <v>MRNoSec_2033A</v>
      </c>
      <c r="H3" s="24" t="str">
        <f aca="false">IF(H$4, $A$3&amp;"_"&amp;H$4&amp;TRFsetup!$A61, "")</f>
        <v>MRNoSec_2033P</v>
      </c>
      <c r="I3" s="24" t="str">
        <f aca="false">IF(I$4, $A$3&amp;"_"&amp;I$4&amp;TRFsetup!$A62, "")</f>
        <v>MRNoSec_2033D</v>
      </c>
      <c r="J3" s="24" t="str">
        <f aca="false">IF(J$4, $A$3&amp;"_"&amp;J$4&amp;TRFsetup!$A63, "")</f>
        <v>MRNoSec_2033N</v>
      </c>
      <c r="K3" s="24" t="str">
        <f aca="false">IF(K$4, $A$3&amp;"_"&amp;K$4&amp;TRFsetup!$A60, "")</f>
        <v>MRNoSec_2048A</v>
      </c>
      <c r="L3" s="24" t="str">
        <f aca="false">IF(L$4, $A$3&amp;"_"&amp;L$4&amp;TRFsetup!$A61, "")</f>
        <v>MRNoSec_2048P</v>
      </c>
      <c r="M3" s="24" t="str">
        <f aca="false">IF(M$4, $A$3&amp;"_"&amp;M$4&amp;TRFsetup!$A62, "")</f>
        <v>MRNoSec_2048D</v>
      </c>
      <c r="N3" s="24" t="str">
        <f aca="false">IF(N$4, $A$3&amp;"_"&amp;N$4&amp;TRFsetup!$A63, "")</f>
        <v>MRNoSec_2048N</v>
      </c>
    </row>
    <row r="4" customFormat="false" ht="12.75" hidden="false" customHeight="false" outlineLevel="0" collapsed="false">
      <c r="A4" s="0" t="s">
        <v>81</v>
      </c>
      <c r="C4" s="25" t="n">
        <f aca="false">TRFsetup!$A$55</f>
        <v>2018</v>
      </c>
      <c r="D4" s="25" t="n">
        <f aca="false">TRFsetup!$A$55</f>
        <v>2018</v>
      </c>
      <c r="E4" s="25" t="n">
        <f aca="false">TRFsetup!$A$55</f>
        <v>2018</v>
      </c>
      <c r="F4" s="25" t="n">
        <f aca="false">TRFsetup!$A$55</f>
        <v>2018</v>
      </c>
      <c r="G4" s="26" t="n">
        <f aca="false">TRFsetup!$A$56</f>
        <v>2033</v>
      </c>
      <c r="H4" s="26" t="n">
        <f aca="false">TRFsetup!$A$56</f>
        <v>2033</v>
      </c>
      <c r="I4" s="26" t="n">
        <f aca="false">TRFsetup!$A$56</f>
        <v>2033</v>
      </c>
      <c r="J4" s="26" t="n">
        <f aca="false">TRFsetup!$A$56</f>
        <v>2033</v>
      </c>
      <c r="K4" s="25" t="n">
        <f aca="false">TRFsetup!$A$57</f>
        <v>2048</v>
      </c>
      <c r="L4" s="25" t="n">
        <f aca="false">TRFsetup!$A$57</f>
        <v>2048</v>
      </c>
      <c r="M4" s="25" t="n">
        <f aca="false">TRFsetup!$A$57</f>
        <v>2048</v>
      </c>
      <c r="N4" s="25" t="n">
        <f aca="false">TRFsetup!$A$57</f>
        <v>2048</v>
      </c>
    </row>
    <row r="5" customFormat="false" ht="12.75" hidden="false" customHeight="false" outlineLevel="0" collapsed="false">
      <c r="A5" s="11" t="s">
        <v>72</v>
      </c>
      <c r="C5" s="27" t="n">
        <f aca="false">TRFsetup!$B$55</f>
        <v>1</v>
      </c>
      <c r="D5" s="27" t="n">
        <f aca="false">TRFsetup!$B$55</f>
        <v>1</v>
      </c>
      <c r="E5" s="27" t="n">
        <f aca="false">TRFsetup!$B$55</f>
        <v>1</v>
      </c>
      <c r="F5" s="27" t="n">
        <f aca="false">TRFsetup!$B$55</f>
        <v>1</v>
      </c>
      <c r="G5" s="27" t="n">
        <f aca="false">TRFsetup!$B$56</f>
        <v>1.225</v>
      </c>
      <c r="H5" s="27" t="n">
        <f aca="false">TRFsetup!$B$56</f>
        <v>1.225</v>
      </c>
      <c r="I5" s="27" t="n">
        <f aca="false">TRFsetup!$B$56</f>
        <v>1.225</v>
      </c>
      <c r="J5" s="27" t="n">
        <f aca="false">TRFsetup!$B$56</f>
        <v>1.225</v>
      </c>
      <c r="K5" s="27" t="n">
        <f aca="false">TRFsetup!$B$57</f>
        <v>1.45</v>
      </c>
      <c r="L5" s="27" t="n">
        <f aca="false">TRFsetup!$B$57</f>
        <v>1.45</v>
      </c>
      <c r="M5" s="27" t="n">
        <f aca="false">TRFsetup!$B$57</f>
        <v>1.45</v>
      </c>
      <c r="N5" s="27" t="n">
        <f aca="false">TRFsetup!$B$57</f>
        <v>1.45</v>
      </c>
    </row>
    <row r="6" customFormat="false" ht="12.75" hidden="false" customHeight="false" outlineLevel="0" collapsed="false">
      <c r="E6" s="28"/>
      <c r="G6" s="29"/>
      <c r="H6" s="28"/>
      <c r="I6" s="30"/>
      <c r="L6" s="28"/>
      <c r="M6" s="30"/>
    </row>
    <row r="7" customFormat="false" ht="12.75" hidden="false" customHeight="false" outlineLevel="0" collapsed="false">
      <c r="E7" s="28"/>
      <c r="G7" s="29"/>
      <c r="H7" s="28"/>
      <c r="I7" s="30"/>
      <c r="L7" s="28"/>
      <c r="M7" s="30"/>
    </row>
    <row r="8" customFormat="false" ht="12.75" hidden="false" customHeight="false" outlineLevel="0" collapsed="false">
      <c r="A8" s="31" t="s">
        <v>82</v>
      </c>
      <c r="B8" s="32"/>
      <c r="C8" s="33" t="n">
        <f aca="false" t="array" ref="C8:C8">SUM(IF(TRFsetup!$B$25:$B$48="A",DIR1count!$C$14:$C$37))*C$5/C$15</f>
        <v>0</v>
      </c>
      <c r="D8" s="33" t="n">
        <f aca="false" t="array" ref="D8:D8">SUM(IF(TRFsetup!$B$25:$B$48="P",DIR1count!$C$14:$C$37))*D$5/D$15</f>
        <v>0</v>
      </c>
      <c r="E8" s="33" t="n">
        <f aca="false" t="array" ref="E8:E8">SUM(IF(TRFsetup!$B$25:$B$48="D",DIR1count!$C$14:$C$37))*E$5/E$15</f>
        <v>0</v>
      </c>
      <c r="F8" s="33" t="n">
        <f aca="false" t="array" ref="F8:F8">SUM(IF(TRFsetup!$B$25:$B$48="N",DIR1count!$C$14:$C$37))*F$5/F$15</f>
        <v>0</v>
      </c>
      <c r="G8" s="34" t="n">
        <f aca="false">C8*$G$5</f>
        <v>0</v>
      </c>
      <c r="H8" s="34" t="n">
        <f aca="false">D8*$G$5</f>
        <v>0</v>
      </c>
      <c r="I8" s="34" t="n">
        <f aca="false">E8*$G$5</f>
        <v>0</v>
      </c>
      <c r="J8" s="34" t="n">
        <f aca="false">F8*$G$5</f>
        <v>0</v>
      </c>
      <c r="K8" s="34" t="n">
        <f aca="false">C8*$K$5</f>
        <v>0</v>
      </c>
      <c r="L8" s="34" t="n">
        <f aca="false">D8*$K$5</f>
        <v>0</v>
      </c>
      <c r="M8" s="34" t="n">
        <f aca="false">E8*$K$5</f>
        <v>0</v>
      </c>
      <c r="N8" s="34" t="n">
        <f aca="false">F8*$K$5</f>
        <v>0</v>
      </c>
    </row>
    <row r="9" customFormat="false" ht="12.75" hidden="false" customHeight="false" outlineLevel="0" collapsed="false">
      <c r="A9" s="35" t="s">
        <v>83</v>
      </c>
      <c r="B9" s="36"/>
      <c r="C9" s="33" t="n">
        <f aca="false" t="array" ref="C9:C9">SUM(IF(TRFsetup!$B$25:$B$48="A",DIR1count!$D$14:$D$37))*C$5/C$15</f>
        <v>0</v>
      </c>
      <c r="D9" s="33" t="n">
        <f aca="false" t="array" ref="D9:D9">SUM(IF(TRFsetup!$B$25:$B$48="P",DIR1count!$D$14:$D$37))*D$5/D$15</f>
        <v>0</v>
      </c>
      <c r="E9" s="33" t="n">
        <f aca="false" t="array" ref="E9:E9">SUM(IF(TRFsetup!$B$25:$B$48="D",DIR1count!$D$14:$D$37))*E$5/E$15</f>
        <v>0</v>
      </c>
      <c r="F9" s="33" t="n">
        <f aca="false" t="array" ref="F9:F9">SUM(IF(TRFsetup!$B$25:$B$48="N",DIR1count!$D$14:$D$37))*F$5/F$15</f>
        <v>0</v>
      </c>
      <c r="G9" s="34" t="n">
        <f aca="false">C9*$G$5</f>
        <v>0</v>
      </c>
      <c r="H9" s="34" t="n">
        <f aca="false">D9*$G$5</f>
        <v>0</v>
      </c>
      <c r="I9" s="34" t="n">
        <f aca="false">E9*$G$5</f>
        <v>0</v>
      </c>
      <c r="J9" s="34" t="n">
        <f aca="false">F9*$G$5</f>
        <v>0</v>
      </c>
      <c r="K9" s="34" t="n">
        <f aca="false">C9*$K$5</f>
        <v>0</v>
      </c>
      <c r="L9" s="34" t="n">
        <f aca="false">D9*$K$5</f>
        <v>0</v>
      </c>
      <c r="M9" s="34" t="n">
        <f aca="false">E9*$K$5</f>
        <v>0</v>
      </c>
      <c r="N9" s="34" t="n">
        <f aca="false">F9*$K$5</f>
        <v>0</v>
      </c>
    </row>
    <row r="10" customFormat="false" ht="12.75" hidden="false" customHeight="false" outlineLevel="0" collapsed="false">
      <c r="A10" s="35" t="s">
        <v>84</v>
      </c>
      <c r="B10" s="36"/>
      <c r="C10" s="33" t="n">
        <f aca="false" t="array" ref="C10:C10">SUM(IF(TRFsetup!$B$25:$B$48="A",DIR1count!$E$14:$G$37))*C$5/C$15</f>
        <v>0</v>
      </c>
      <c r="D10" s="33" t="n">
        <f aca="false" t="array" ref="D10:D10">SUM(IF(TRFsetup!$B$25:$B$48="P",DIR1count!$E$14:$G$37))*D$5/D$15</f>
        <v>0</v>
      </c>
      <c r="E10" s="33" t="n">
        <f aca="false" t="array" ref="E10:E10">SUM(IF(TRFsetup!$B$25:$B$48="D",DIR1count!$E$14:$G$37))*E$5/E$15</f>
        <v>0</v>
      </c>
      <c r="F10" s="33" t="n">
        <f aca="false" t="array" ref="F10:F10">SUM(IF(TRFsetup!$B$25:$B$48="N",DIR1count!$E$14:$G$37))*F$5/F$15</f>
        <v>0</v>
      </c>
      <c r="G10" s="34" t="n">
        <f aca="false">C10*$G$5</f>
        <v>0</v>
      </c>
      <c r="H10" s="34" t="n">
        <f aca="false">D10*$G$5</f>
        <v>0</v>
      </c>
      <c r="I10" s="34" t="n">
        <f aca="false">E10*$G$5</f>
        <v>0</v>
      </c>
      <c r="J10" s="34" t="n">
        <f aca="false">F10*$G$5</f>
        <v>0</v>
      </c>
      <c r="K10" s="34" t="n">
        <f aca="false">C10*$K$5</f>
        <v>0</v>
      </c>
      <c r="L10" s="34" t="n">
        <f aca="false">D10*$K$5</f>
        <v>0</v>
      </c>
      <c r="M10" s="34" t="n">
        <f aca="false">E10*$K$5</f>
        <v>0</v>
      </c>
      <c r="N10" s="34" t="n">
        <f aca="false">F10*$K$5</f>
        <v>0</v>
      </c>
    </row>
    <row r="11" customFormat="false" ht="12.75" hidden="false" customHeight="false" outlineLevel="0" collapsed="false">
      <c r="A11" s="35" t="s">
        <v>85</v>
      </c>
      <c r="B11" s="36"/>
      <c r="C11" s="33" t="n">
        <f aca="false" t="array" ref="C11:C11">SUM(IF(TRFsetup!$B$25:$B$48="A",DIR1count!$H$14:$K$37))*C$5/C$15</f>
        <v>0</v>
      </c>
      <c r="D11" s="33" t="n">
        <f aca="false" t="array" ref="D11:D11">SUM(IF(TRFsetup!$B$25:$B$48="P",DIR1count!$H$14:$K$37))*D$5/D$15</f>
        <v>0</v>
      </c>
      <c r="E11" s="33" t="n">
        <f aca="false" t="array" ref="E11:E11">SUM(IF(TRFsetup!$B$25:$B$48="D",DIR1count!$H$14:$K$37))*E$5/E$15</f>
        <v>0</v>
      </c>
      <c r="F11" s="33" t="n">
        <f aca="false" t="array" ref="F11:F11">SUM(IF(TRFsetup!$B$25:$B$48="N",DIR1count!$H$14:$K$37))*F$5/F$15</f>
        <v>0</v>
      </c>
      <c r="G11" s="34" t="n">
        <f aca="false">C11*$G$5</f>
        <v>0</v>
      </c>
      <c r="H11" s="34" t="n">
        <f aca="false">D11*$G$5</f>
        <v>0</v>
      </c>
      <c r="I11" s="34" t="n">
        <f aca="false">E11*$G$5</f>
        <v>0</v>
      </c>
      <c r="J11" s="34" t="n">
        <f aca="false">F11*$G$5</f>
        <v>0</v>
      </c>
      <c r="K11" s="34" t="n">
        <f aca="false">C11*$K$5</f>
        <v>0</v>
      </c>
      <c r="L11" s="34" t="n">
        <f aca="false">D11*$K$5</f>
        <v>0</v>
      </c>
      <c r="M11" s="34" t="n">
        <f aca="false">E11*$K$5</f>
        <v>0</v>
      </c>
      <c r="N11" s="34" t="n">
        <f aca="false">F11*$K$5</f>
        <v>0</v>
      </c>
    </row>
    <row r="12" customFormat="false" ht="12.75" hidden="false" customHeight="false" outlineLevel="0" collapsed="false">
      <c r="A12" s="35" t="s">
        <v>86</v>
      </c>
      <c r="B12" s="36"/>
      <c r="C12" s="33" t="n">
        <f aca="false" t="array" ref="C12:C12">SUM(IF(TRFsetup!$B$25:$B$48="A",DIR1count!$L$14:$L$37))*C$5/C$15</f>
        <v>0</v>
      </c>
      <c r="D12" s="33" t="n">
        <f aca="false" t="array" ref="D12:D12">SUM(IF(TRFsetup!$B$25:$B$48="P",DIR1count!$L$14:$L$37))*D$5/D$15</f>
        <v>0</v>
      </c>
      <c r="E12" s="33" t="n">
        <f aca="false" t="array" ref="E12:E12">SUM(IF(TRFsetup!$B$25:$B$48="D",DIR1count!$L$14:$L$37))*E$5/E$15</f>
        <v>0</v>
      </c>
      <c r="F12" s="33" t="n">
        <f aca="false" t="array" ref="F12:F12">SUM(IF(TRFsetup!$B$25:$B$48="N",DIR1count!$L$14:$L$37))*F$5/F$15</f>
        <v>0</v>
      </c>
      <c r="G12" s="34" t="n">
        <f aca="false">C12*$G$5</f>
        <v>0</v>
      </c>
      <c r="H12" s="34" t="n">
        <f aca="false">D12*$G$5</f>
        <v>0</v>
      </c>
      <c r="I12" s="34" t="n">
        <f aca="false">E12*$G$5</f>
        <v>0</v>
      </c>
      <c r="J12" s="34" t="n">
        <f aca="false">F12*$G$5</f>
        <v>0</v>
      </c>
      <c r="K12" s="34" t="n">
        <f aca="false">C12*$K$5</f>
        <v>0</v>
      </c>
      <c r="L12" s="34" t="n">
        <f aca="false">D12*$K$5</f>
        <v>0</v>
      </c>
      <c r="M12" s="34" t="n">
        <f aca="false">E12*$K$5</f>
        <v>0</v>
      </c>
      <c r="N12" s="34" t="n">
        <f aca="false">F12*$K$5</f>
        <v>0</v>
      </c>
    </row>
    <row r="13" customFormat="false" ht="12.75" hidden="false" customHeight="false" outlineLevel="0" collapsed="false">
      <c r="A13" s="37" t="s">
        <v>87</v>
      </c>
      <c r="B13" s="38"/>
      <c r="C13" s="33" t="n">
        <f aca="false" t="array" ref="C13:C13">SUM(IF(TRFsetup!$B$25:$B$48="A",DIR1count!$M$14:$N$37))*$C$5/C$15</f>
        <v>0</v>
      </c>
      <c r="D13" s="33" t="n">
        <f aca="false" t="array" ref="D13:D13">SUM(IF(TRFsetup!$B$25:$B$48="P",DIR1count!$M$14:$N$37))*D$5/D$15</f>
        <v>0</v>
      </c>
      <c r="E13" s="33" t="n">
        <f aca="false" t="array" ref="E13:E13">SUM(IF(TRFsetup!$B$25:$B$48="D",DIR1count!$M$14:$N$37))*E$5/E$15</f>
        <v>0</v>
      </c>
      <c r="F13" s="33" t="n">
        <f aca="false" t="array" ref="F13:F13">SUM(IF(TRFsetup!$B$25:$B$48="N",DIR1count!$M$14:$N$37))*F$5/F$15</f>
        <v>0</v>
      </c>
      <c r="G13" s="34" t="n">
        <f aca="false">C13*$G$5</f>
        <v>0</v>
      </c>
      <c r="H13" s="34" t="n">
        <f aca="false">D13*$G$5</f>
        <v>0</v>
      </c>
      <c r="I13" s="34" t="n">
        <f aca="false">E13*$G$5</f>
        <v>0</v>
      </c>
      <c r="J13" s="34" t="n">
        <f aca="false">F13*$G$5</f>
        <v>0</v>
      </c>
      <c r="K13" s="34" t="n">
        <f aca="false">C13*$K$5</f>
        <v>0</v>
      </c>
      <c r="L13" s="34" t="n">
        <f aca="false">D13*$K$5</f>
        <v>0</v>
      </c>
      <c r="M13" s="34" t="n">
        <f aca="false">E13*$K$5</f>
        <v>0</v>
      </c>
      <c r="N13" s="34" t="n">
        <f aca="false">F13*$K$5</f>
        <v>0</v>
      </c>
    </row>
    <row r="14" s="40" customFormat="true" ht="12.75" hidden="false" customHeight="false" outlineLevel="0" collapsed="false">
      <c r="A14" s="39" t="s">
        <v>88</v>
      </c>
      <c r="C14" s="41" t="n">
        <f aca="false">SUM(C8:C13)</f>
        <v>0</v>
      </c>
      <c r="D14" s="41" t="n">
        <f aca="false">SUM(D8:D13)</f>
        <v>0</v>
      </c>
      <c r="E14" s="41" t="n">
        <f aca="false">SUM(E8:E13)</f>
        <v>0</v>
      </c>
      <c r="F14" s="41" t="n">
        <f aca="false">SUM(F8:F13)</f>
        <v>0</v>
      </c>
      <c r="G14" s="41" t="n">
        <f aca="false">SUM(G8:G13)</f>
        <v>0</v>
      </c>
      <c r="H14" s="41" t="n">
        <f aca="false">SUM(H8:H13)</f>
        <v>0</v>
      </c>
      <c r="I14" s="41" t="n">
        <f aca="false">SUM(I8:I13)</f>
        <v>0</v>
      </c>
      <c r="J14" s="41" t="n">
        <f aca="false">SUM(J8:J13)</f>
        <v>0</v>
      </c>
      <c r="K14" s="41" t="n">
        <f aca="false">SUM(K8:K13)</f>
        <v>0</v>
      </c>
      <c r="L14" s="41" t="n">
        <f aca="false">SUM(L8:L13)</f>
        <v>0</v>
      </c>
      <c r="M14" s="41" t="n">
        <f aca="false">SUM(M8:M13)</f>
        <v>0</v>
      </c>
      <c r="N14" s="41" t="n">
        <f aca="false">SUM(N8:N13)</f>
        <v>0</v>
      </c>
    </row>
    <row r="15" s="40" customFormat="true" ht="12.75" hidden="false" customHeight="false" outlineLevel="0" collapsed="false">
      <c r="A15" s="39" t="s">
        <v>89</v>
      </c>
      <c r="C15" s="41" t="n">
        <v>1</v>
      </c>
      <c r="D15" s="41" t="n">
        <v>1</v>
      </c>
      <c r="E15" s="41" t="n">
        <v>10</v>
      </c>
      <c r="F15" s="41" t="n">
        <v>12</v>
      </c>
      <c r="G15" s="41" t="n">
        <f aca="false">C15</f>
        <v>1</v>
      </c>
      <c r="H15" s="41" t="n">
        <f aca="false">D15</f>
        <v>1</v>
      </c>
      <c r="I15" s="41" t="n">
        <f aca="false">E15</f>
        <v>10</v>
      </c>
      <c r="J15" s="41" t="n">
        <f aca="false">F15</f>
        <v>12</v>
      </c>
      <c r="K15" s="41" t="n">
        <f aca="false">C15</f>
        <v>1</v>
      </c>
      <c r="L15" s="41" t="n">
        <f aca="false">D15</f>
        <v>1</v>
      </c>
      <c r="M15" s="41" t="n">
        <f aca="false">E15</f>
        <v>10</v>
      </c>
      <c r="N15" s="41" t="n">
        <f aca="false">F15</f>
        <v>12</v>
      </c>
    </row>
    <row r="16" s="40" customFormat="true" ht="12.75" hidden="false" customHeight="false" outlineLevel="0" collapsed="false">
      <c r="A16" s="39" t="s">
        <v>90</v>
      </c>
      <c r="C16" s="41" t="n">
        <f aca="false">C14*C15</f>
        <v>0</v>
      </c>
      <c r="D16" s="41" t="n">
        <f aca="false">D14*D15</f>
        <v>0</v>
      </c>
      <c r="E16" s="41" t="n">
        <f aca="false">E14*E15</f>
        <v>0</v>
      </c>
      <c r="F16" s="41" t="n">
        <f aca="false">F14*F15</f>
        <v>0</v>
      </c>
      <c r="G16" s="41" t="n">
        <f aca="false">G14*G15</f>
        <v>0</v>
      </c>
      <c r="H16" s="41" t="n">
        <f aca="false">H14*H15</f>
        <v>0</v>
      </c>
      <c r="I16" s="41" t="n">
        <f aca="false">I14*I15</f>
        <v>0</v>
      </c>
      <c r="J16" s="41" t="n">
        <f aca="false">J14*J15</f>
        <v>0</v>
      </c>
      <c r="K16" s="41" t="n">
        <f aca="false">K14*K15</f>
        <v>0</v>
      </c>
      <c r="L16" s="41" t="n">
        <f aca="false">L14*L15</f>
        <v>0</v>
      </c>
      <c r="M16" s="41" t="n">
        <f aca="false">M14*M15</f>
        <v>0</v>
      </c>
      <c r="N16" s="41" t="n">
        <f aca="false">N14*N15</f>
        <v>0</v>
      </c>
    </row>
    <row r="17" s="40" customFormat="true" ht="12.75" hidden="false" customHeight="false" outlineLevel="0" collapsed="false">
      <c r="A17" s="39" t="s">
        <v>90</v>
      </c>
      <c r="C17" s="41"/>
      <c r="D17" s="41"/>
      <c r="E17" s="42"/>
      <c r="F17" s="41" t="n">
        <f aca="false">SUM(C16:F16)</f>
        <v>0</v>
      </c>
      <c r="G17" s="41"/>
      <c r="H17" s="41"/>
      <c r="I17" s="42"/>
      <c r="J17" s="41" t="n">
        <f aca="false">SUM(G16:J16)</f>
        <v>0</v>
      </c>
      <c r="K17" s="41"/>
      <c r="L17" s="41"/>
      <c r="M17" s="42"/>
      <c r="N17" s="41" t="n">
        <f aca="false">SUM(K16:N16)</f>
        <v>0</v>
      </c>
    </row>
    <row r="18" s="40" customFormat="true" ht="12.75" hidden="false" customHeight="false" outlineLevel="0" collapsed="false">
      <c r="A18" s="39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</row>
    <row r="19" customFormat="false" ht="12.75" hidden="false" customHeight="false" outlineLevel="0" collapsed="false">
      <c r="A19" s="31" t="s">
        <v>91</v>
      </c>
      <c r="B19" s="32"/>
      <c r="C19" s="33" t="n">
        <f aca="false" t="array" ref="C19:C19">SUM(IF(TRFsetup!$B$25:$B$48="A",DIR2count!$C$14:$C$37))*C$5/C$15</f>
        <v>0</v>
      </c>
      <c r="D19" s="33" t="n">
        <f aca="false" t="array" ref="D19:D19">SUM(IF(TRFsetup!$B$25:$B$48="P",DIR2count!$C$14:$C$37))*D$5/D$15</f>
        <v>0</v>
      </c>
      <c r="E19" s="33" t="n">
        <f aca="false" t="array" ref="E19:E19">SUM(IF(TRFsetup!$B$25:$B$48="D",DIR2count!$C$14:$C$37))*E$5/E$15</f>
        <v>0</v>
      </c>
      <c r="F19" s="33" t="n">
        <f aca="false" t="array" ref="F19:F19">SUM(IF(TRFsetup!$B$25:$B$48="N",DIR2count!$C$14:$C$37))*F$5/F$15</f>
        <v>0</v>
      </c>
      <c r="G19" s="34" t="n">
        <f aca="false">C19*$G$5</f>
        <v>0</v>
      </c>
      <c r="H19" s="34" t="n">
        <f aca="false">D19*$G$5</f>
        <v>0</v>
      </c>
      <c r="I19" s="34" t="n">
        <f aca="false">E19*$G$5</f>
        <v>0</v>
      </c>
      <c r="J19" s="34" t="n">
        <f aca="false">F19*$G$5</f>
        <v>0</v>
      </c>
      <c r="K19" s="34" t="n">
        <f aca="false">C19*$K$5</f>
        <v>0</v>
      </c>
      <c r="L19" s="34" t="n">
        <f aca="false">D19*$K$5</f>
        <v>0</v>
      </c>
      <c r="M19" s="34" t="n">
        <f aca="false">E19*$K$5</f>
        <v>0</v>
      </c>
      <c r="N19" s="34" t="n">
        <f aca="false">F19*$K$5</f>
        <v>0</v>
      </c>
    </row>
    <row r="20" customFormat="false" ht="12.75" hidden="false" customHeight="false" outlineLevel="0" collapsed="false">
      <c r="A20" s="35" t="s">
        <v>92</v>
      </c>
      <c r="B20" s="36"/>
      <c r="C20" s="33" t="n">
        <f aca="false" t="array" ref="C20:C20">SUM(IF(TRFsetup!$B$25:$B$48="A",DIR2count!$D$14:$D$37))*C$5/C$15</f>
        <v>0</v>
      </c>
      <c r="D20" s="33" t="n">
        <f aca="false" t="array" ref="D20:D20">SUM(IF(TRFsetup!$B$25:$B$48="P",DIR2count!$D$14:$D$37))*D$5/D$15</f>
        <v>0</v>
      </c>
      <c r="E20" s="33" t="n">
        <f aca="false" t="array" ref="E20:E20">SUM(IF(TRFsetup!$B$25:$B$48="D",DIR2count!$D$14:$D$37))*E$5/E$15</f>
        <v>0</v>
      </c>
      <c r="F20" s="33" t="n">
        <f aca="false" t="array" ref="F20:F20">SUM(IF(TRFsetup!$B$25:$B$48="N",DIR2count!$D$14:$D$37))*F$5/F$15</f>
        <v>0</v>
      </c>
      <c r="G20" s="34" t="n">
        <f aca="false">C20*$G$5</f>
        <v>0</v>
      </c>
      <c r="H20" s="34" t="n">
        <f aca="false">D20*$G$5</f>
        <v>0</v>
      </c>
      <c r="I20" s="34" t="n">
        <f aca="false">E20*$G$5</f>
        <v>0</v>
      </c>
      <c r="J20" s="34" t="n">
        <f aca="false">F20*$G$5</f>
        <v>0</v>
      </c>
      <c r="K20" s="34" t="n">
        <f aca="false">C20*$K$5</f>
        <v>0</v>
      </c>
      <c r="L20" s="34" t="n">
        <f aca="false">D20*$K$5</f>
        <v>0</v>
      </c>
      <c r="M20" s="34" t="n">
        <f aca="false">E20*$K$5</f>
        <v>0</v>
      </c>
      <c r="N20" s="34" t="n">
        <f aca="false">F20*$K$5</f>
        <v>0</v>
      </c>
    </row>
    <row r="21" customFormat="false" ht="12.75" hidden="false" customHeight="false" outlineLevel="0" collapsed="false">
      <c r="A21" s="35" t="s">
        <v>93</v>
      </c>
      <c r="B21" s="36"/>
      <c r="C21" s="33" t="n">
        <f aca="false" t="array" ref="C21:C21">SUM(IF(TRFsetup!$B$25:$B$48="A",DIR2count!$E$14:$G$37))*C$5/C$15</f>
        <v>0</v>
      </c>
      <c r="D21" s="33" t="n">
        <f aca="false" t="array" ref="D21:D21">SUM(IF(TRFsetup!$B$25:$B$48="P",DIR2count!$E$14:$G$37))*D$5/D$15</f>
        <v>0</v>
      </c>
      <c r="E21" s="33" t="n">
        <f aca="false" t="array" ref="E21:E21">SUM(IF(TRFsetup!$B$25:$B$48="D",DIR2count!$E$14:$G$37))*E$5/E$15</f>
        <v>0</v>
      </c>
      <c r="F21" s="33" t="n">
        <f aca="false" t="array" ref="F21:F21">SUM(IF(TRFsetup!$B$25:$B$48="N",DIR2count!$E$14:$G$37))*F$5/F$15</f>
        <v>0</v>
      </c>
      <c r="G21" s="34" t="n">
        <f aca="false">C21*$G$5</f>
        <v>0</v>
      </c>
      <c r="H21" s="34" t="n">
        <f aca="false">D21*$G$5</f>
        <v>0</v>
      </c>
      <c r="I21" s="34" t="n">
        <f aca="false">E21*$G$5</f>
        <v>0</v>
      </c>
      <c r="J21" s="34" t="n">
        <f aca="false">F21*$G$5</f>
        <v>0</v>
      </c>
      <c r="K21" s="34" t="n">
        <f aca="false">C21*$K$5</f>
        <v>0</v>
      </c>
      <c r="L21" s="34" t="n">
        <f aca="false">D21*$K$5</f>
        <v>0</v>
      </c>
      <c r="M21" s="34" t="n">
        <f aca="false">E21*$K$5</f>
        <v>0</v>
      </c>
      <c r="N21" s="34" t="n">
        <f aca="false">F21*$K$5</f>
        <v>0</v>
      </c>
    </row>
    <row r="22" customFormat="false" ht="12.75" hidden="false" customHeight="false" outlineLevel="0" collapsed="false">
      <c r="A22" s="35" t="s">
        <v>94</v>
      </c>
      <c r="B22" s="36"/>
      <c r="C22" s="33" t="n">
        <f aca="false" t="array" ref="C22:C22">SUM(IF(TRFsetup!$B$25:$B$48="A",DIR2count!$H$14:$K$37))*C$5/C$15</f>
        <v>0</v>
      </c>
      <c r="D22" s="33" t="n">
        <f aca="false" t="array" ref="D22:D22">SUM(IF(TRFsetup!$B$25:$B$48="P",DIR2count!$H$14:$K$37))*D$5/D$15</f>
        <v>0</v>
      </c>
      <c r="E22" s="33" t="n">
        <f aca="false" t="array" ref="E22:E22">SUM(IF(TRFsetup!$B$25:$B$48="D",DIR2count!$H$14:$K$37))*E$5/E$15</f>
        <v>0</v>
      </c>
      <c r="F22" s="33" t="n">
        <f aca="false" t="array" ref="F22:F22">SUM(IF(TRFsetup!$B$25:$B$48="N",DIR2count!$H$14:$K$37))*F$5/F$15</f>
        <v>0</v>
      </c>
      <c r="G22" s="34" t="n">
        <f aca="false">C22*$G$5</f>
        <v>0</v>
      </c>
      <c r="H22" s="34" t="n">
        <f aca="false">D22*$G$5</f>
        <v>0</v>
      </c>
      <c r="I22" s="34" t="n">
        <f aca="false">E22*$G$5</f>
        <v>0</v>
      </c>
      <c r="J22" s="34" t="n">
        <f aca="false">F22*$G$5</f>
        <v>0</v>
      </c>
      <c r="K22" s="34" t="n">
        <f aca="false">C22*$K$5</f>
        <v>0</v>
      </c>
      <c r="L22" s="34" t="n">
        <f aca="false">D22*$K$5</f>
        <v>0</v>
      </c>
      <c r="M22" s="34" t="n">
        <f aca="false">E22*$K$5</f>
        <v>0</v>
      </c>
      <c r="N22" s="34" t="n">
        <f aca="false">F22*$K$5</f>
        <v>0</v>
      </c>
    </row>
    <row r="23" customFormat="false" ht="12.75" hidden="false" customHeight="false" outlineLevel="0" collapsed="false">
      <c r="A23" s="35" t="s">
        <v>95</v>
      </c>
      <c r="B23" s="36"/>
      <c r="C23" s="33" t="n">
        <f aca="false" t="array" ref="C23:C23">SUM(IF(TRFsetup!$B$25:$B$48="A",DIR2count!$L$14:$L$37))*C$5/C$15</f>
        <v>0</v>
      </c>
      <c r="D23" s="33" t="n">
        <f aca="false" t="array" ref="D23:D23">SUM(IF(TRFsetup!$B$25:$B$48="P",DIR2count!$L$14:$L$37))*D$5/D$15</f>
        <v>0</v>
      </c>
      <c r="E23" s="33" t="n">
        <f aca="false" t="array" ref="E23:E23">SUM(IF(TRFsetup!$B$25:$B$48="D",DIR2count!$L$14:$L$37))*E$5/E$15</f>
        <v>0</v>
      </c>
      <c r="F23" s="33" t="n">
        <f aca="false" t="array" ref="F23:F23">SUM(IF(TRFsetup!$B$25:$B$48="N",DIR2count!$L$14:$L$37))*F$5/F$15</f>
        <v>0</v>
      </c>
      <c r="G23" s="34" t="n">
        <f aca="false">C23*$G$5</f>
        <v>0</v>
      </c>
      <c r="H23" s="34" t="n">
        <f aca="false">D23*$G$5</f>
        <v>0</v>
      </c>
      <c r="I23" s="34" t="n">
        <f aca="false">E23*$G$5</f>
        <v>0</v>
      </c>
      <c r="J23" s="34" t="n">
        <f aca="false">F23*$G$5</f>
        <v>0</v>
      </c>
      <c r="K23" s="34" t="n">
        <f aca="false">C23*$K$5</f>
        <v>0</v>
      </c>
      <c r="L23" s="34" t="n">
        <f aca="false">D23*$K$5</f>
        <v>0</v>
      </c>
      <c r="M23" s="34" t="n">
        <f aca="false">E23*$K$5</f>
        <v>0</v>
      </c>
      <c r="N23" s="34" t="n">
        <f aca="false">F23*$K$5</f>
        <v>0</v>
      </c>
    </row>
    <row r="24" customFormat="false" ht="12.75" hidden="false" customHeight="false" outlineLevel="0" collapsed="false">
      <c r="A24" s="37" t="s">
        <v>96</v>
      </c>
      <c r="B24" s="38"/>
      <c r="C24" s="33" t="n">
        <f aca="false" t="array" ref="C24:C24">SUM(IF(TRFsetup!$B$25:$B$48="A",DIR2count!$M$14:$N$37))*$C$5/C$15</f>
        <v>0</v>
      </c>
      <c r="D24" s="33" t="n">
        <f aca="false" t="array" ref="D24:D24">SUM(IF(TRFsetup!$B$25:$B$48="P",DIR2count!$M$14:$N$37))*D$5/D$15</f>
        <v>0</v>
      </c>
      <c r="E24" s="33" t="n">
        <f aca="false" t="array" ref="E24:E24">SUM(IF(TRFsetup!$B$25:$B$48="D",DIR2count!$M$14:$N$37))*E$5/E$15</f>
        <v>0</v>
      </c>
      <c r="F24" s="33" t="n">
        <f aca="false" t="array" ref="F24:F24">SUM(IF(TRFsetup!$B$25:$B$48="N",DIR2count!$M$14:$N$37))*F$5/F$15</f>
        <v>0</v>
      </c>
      <c r="G24" s="34" t="n">
        <f aca="false">C24*$G$5</f>
        <v>0</v>
      </c>
      <c r="H24" s="34" t="n">
        <f aca="false">D24*$G$5</f>
        <v>0</v>
      </c>
      <c r="I24" s="34" t="n">
        <f aca="false">E24*$G$5</f>
        <v>0</v>
      </c>
      <c r="J24" s="34" t="n">
        <f aca="false">F24*$G$5</f>
        <v>0</v>
      </c>
      <c r="K24" s="34" t="n">
        <f aca="false">C24*$K$5</f>
        <v>0</v>
      </c>
      <c r="L24" s="34" t="n">
        <f aca="false">D24*$K$5</f>
        <v>0</v>
      </c>
      <c r="M24" s="34" t="n">
        <f aca="false">E24*$K$5</f>
        <v>0</v>
      </c>
      <c r="N24" s="34" t="n">
        <f aca="false">F24*$K$5</f>
        <v>0</v>
      </c>
    </row>
    <row r="25" customFormat="false" ht="12.75" hidden="false" customHeight="false" outlineLevel="0" collapsed="false">
      <c r="A25" s="39" t="s">
        <v>88</v>
      </c>
      <c r="B25" s="39"/>
      <c r="C25" s="43" t="n">
        <f aca="false">SUM(C19:C24)</f>
        <v>0</v>
      </c>
      <c r="D25" s="43" t="n">
        <f aca="false">SUM(D19:D24)</f>
        <v>0</v>
      </c>
      <c r="E25" s="43" t="n">
        <f aca="false">SUM(E19:E24)</f>
        <v>0</v>
      </c>
      <c r="F25" s="43" t="n">
        <f aca="false">SUM(F19:F24)</f>
        <v>0</v>
      </c>
      <c r="G25" s="41" t="n">
        <f aca="false">SUM(G19:G24)</f>
        <v>0</v>
      </c>
      <c r="H25" s="41" t="n">
        <f aca="false">SUM(H19:H24)</f>
        <v>0</v>
      </c>
      <c r="I25" s="41" t="n">
        <f aca="false">SUM(I19:I24)</f>
        <v>0</v>
      </c>
      <c r="J25" s="41" t="n">
        <f aca="false">SUM(J19:J24)</f>
        <v>0</v>
      </c>
      <c r="K25" s="41" t="n">
        <f aca="false">SUM(K19:K24)</f>
        <v>0</v>
      </c>
      <c r="L25" s="41" t="n">
        <f aca="false">SUM(L19:L24)</f>
        <v>0</v>
      </c>
      <c r="M25" s="41" t="n">
        <f aca="false">SUM(M19:M24)</f>
        <v>0</v>
      </c>
      <c r="N25" s="41" t="n">
        <f aca="false">SUM(N19:N24)</f>
        <v>0</v>
      </c>
    </row>
    <row r="26" customFormat="false" ht="12.75" hidden="false" customHeight="false" outlineLevel="0" collapsed="false">
      <c r="A26" s="39" t="s">
        <v>89</v>
      </c>
      <c r="B26" s="39"/>
      <c r="C26" s="43" t="n">
        <v>1</v>
      </c>
      <c r="D26" s="43" t="n">
        <v>1</v>
      </c>
      <c r="E26" s="43" t="n">
        <v>10</v>
      </c>
      <c r="F26" s="43" t="n">
        <v>12</v>
      </c>
      <c r="G26" s="41" t="n">
        <f aca="false">C26</f>
        <v>1</v>
      </c>
      <c r="H26" s="41" t="n">
        <f aca="false">D26</f>
        <v>1</v>
      </c>
      <c r="I26" s="41" t="n">
        <f aca="false">E26</f>
        <v>10</v>
      </c>
      <c r="J26" s="41" t="n">
        <f aca="false">F26</f>
        <v>12</v>
      </c>
      <c r="K26" s="41" t="n">
        <f aca="false">C26</f>
        <v>1</v>
      </c>
      <c r="L26" s="41" t="n">
        <f aca="false">D26</f>
        <v>1</v>
      </c>
      <c r="M26" s="41" t="n">
        <f aca="false">E26</f>
        <v>10</v>
      </c>
      <c r="N26" s="41" t="n">
        <f aca="false">F26</f>
        <v>12</v>
      </c>
    </row>
    <row r="27" customFormat="false" ht="12.75" hidden="false" customHeight="false" outlineLevel="0" collapsed="false">
      <c r="A27" s="39" t="s">
        <v>90</v>
      </c>
      <c r="B27" s="39"/>
      <c r="C27" s="43" t="n">
        <f aca="false">C25*C26</f>
        <v>0</v>
      </c>
      <c r="D27" s="43" t="n">
        <f aca="false">D25*D26</f>
        <v>0</v>
      </c>
      <c r="E27" s="43" t="n">
        <f aca="false">E25*E26</f>
        <v>0</v>
      </c>
      <c r="F27" s="43" t="n">
        <f aca="false">F25*F26</f>
        <v>0</v>
      </c>
      <c r="G27" s="44" t="n">
        <f aca="false">G25*G26</f>
        <v>0</v>
      </c>
      <c r="H27" s="44" t="n">
        <f aca="false">H25*H26</f>
        <v>0</v>
      </c>
      <c r="I27" s="44" t="n">
        <f aca="false">I25*I26</f>
        <v>0</v>
      </c>
      <c r="J27" s="44" t="n">
        <f aca="false">J25*J26</f>
        <v>0</v>
      </c>
      <c r="K27" s="44" t="n">
        <f aca="false">K25*K26</f>
        <v>0</v>
      </c>
      <c r="L27" s="44" t="n">
        <f aca="false">L25*L26</f>
        <v>0</v>
      </c>
      <c r="M27" s="44" t="n">
        <f aca="false">M25*M26</f>
        <v>0</v>
      </c>
      <c r="N27" s="44" t="n">
        <f aca="false">N25*N26</f>
        <v>0</v>
      </c>
    </row>
    <row r="28" customFormat="false" ht="12.75" hidden="false" customHeight="false" outlineLevel="0" collapsed="false">
      <c r="A28" s="39" t="s">
        <v>90</v>
      </c>
      <c r="B28" s="39"/>
      <c r="C28" s="44"/>
      <c r="D28" s="44"/>
      <c r="F28" s="44" t="n">
        <f aca="false">SUM(C27:F27)</f>
        <v>0</v>
      </c>
      <c r="G28" s="44"/>
      <c r="H28" s="44"/>
      <c r="J28" s="44" t="n">
        <f aca="false">SUM(G27:J27)</f>
        <v>0</v>
      </c>
      <c r="K28" s="44"/>
      <c r="L28" s="44"/>
      <c r="N28" s="44" t="n">
        <f aca="false">SUM(K27:N27)</f>
        <v>0</v>
      </c>
    </row>
    <row r="29" customFormat="false" ht="12.75" hidden="false" customHeight="false" outlineLevel="0" collapsed="false">
      <c r="A29" s="39" t="s">
        <v>97</v>
      </c>
      <c r="B29" s="39"/>
      <c r="C29" s="44"/>
      <c r="D29" s="44"/>
      <c r="F29" s="44" t="n">
        <f aca="false">F17+F28</f>
        <v>0</v>
      </c>
      <c r="G29" s="44"/>
      <c r="H29" s="44"/>
      <c r="J29" s="44" t="n">
        <f aca="false">J17+J28</f>
        <v>0</v>
      </c>
      <c r="K29" s="44"/>
      <c r="L29" s="44"/>
      <c r="N29" s="44" t="n">
        <f aca="false">N17+N28</f>
        <v>0</v>
      </c>
    </row>
    <row r="30" s="40" customFormat="true" ht="12.75" hidden="false" customHeight="false" outlineLevel="0" collapsed="false">
      <c r="A30" s="45"/>
      <c r="B30" s="45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</row>
    <row r="31" s="40" customFormat="true" ht="12.75" hidden="false" customHeight="false" outlineLevel="0" collapsed="false">
      <c r="A31" s="45" t="s">
        <v>98</v>
      </c>
      <c r="B31" s="45"/>
      <c r="C31" s="44" t="n">
        <f aca="false">SUM(C8:C13,C19:C24)</f>
        <v>0</v>
      </c>
      <c r="D31" s="44" t="n">
        <f aca="false">SUM(D8:D13,D19:D24)</f>
        <v>0</v>
      </c>
      <c r="E31" s="44" t="n">
        <f aca="false">SUM(E8:E13,E19:E24)</f>
        <v>0</v>
      </c>
      <c r="F31" s="44" t="n">
        <f aca="false">SUM(F8:F13,F19:F24)</f>
        <v>0</v>
      </c>
      <c r="G31" s="44" t="n">
        <f aca="false">SUM(G8:G13,G19:G24)</f>
        <v>0</v>
      </c>
      <c r="H31" s="44" t="n">
        <f aca="false">SUM(H8:H13,H19:H24)</f>
        <v>0</v>
      </c>
      <c r="I31" s="44" t="n">
        <f aca="false">SUM(I8:I13,I19:I24)</f>
        <v>0</v>
      </c>
      <c r="J31" s="44" t="n">
        <f aca="false">SUM(J8:J13,J19:J24)</f>
        <v>0</v>
      </c>
      <c r="K31" s="44" t="n">
        <f aca="false">SUM(K8:K13,K19:K24)</f>
        <v>0</v>
      </c>
      <c r="L31" s="44" t="n">
        <f aca="false">SUM(L8:L13,L19:L24)</f>
        <v>0</v>
      </c>
      <c r="M31" s="44" t="n">
        <f aca="false">SUM(M8:M13,M19:M24)</f>
        <v>0</v>
      </c>
      <c r="N31" s="44" t="n">
        <f aca="false">SUM(N8:N13,N19:N24)</f>
        <v>0</v>
      </c>
    </row>
    <row r="32" s="40" customFormat="true" ht="12.75" hidden="false" customHeight="false" outlineLevel="0" collapsed="false">
      <c r="A32" s="45" t="s">
        <v>99</v>
      </c>
      <c r="B32" s="45"/>
      <c r="C32" s="44" t="n">
        <v>1000</v>
      </c>
      <c r="D32" s="44" t="n">
        <f aca="false">C32</f>
        <v>1000</v>
      </c>
      <c r="E32" s="44" t="n">
        <f aca="false">D32</f>
        <v>1000</v>
      </c>
      <c r="F32" s="44" t="n">
        <f aca="false">E32</f>
        <v>1000</v>
      </c>
      <c r="G32" s="44" t="n">
        <f aca="false">F32</f>
        <v>1000</v>
      </c>
      <c r="H32" s="44" t="n">
        <f aca="false">G32</f>
        <v>1000</v>
      </c>
      <c r="I32" s="44" t="n">
        <f aca="false">H32</f>
        <v>1000</v>
      </c>
      <c r="J32" s="44" t="n">
        <f aca="false">I32</f>
        <v>1000</v>
      </c>
      <c r="K32" s="44" t="n">
        <f aca="false">J32</f>
        <v>1000</v>
      </c>
      <c r="L32" s="44" t="n">
        <f aca="false">K32</f>
        <v>1000</v>
      </c>
      <c r="M32" s="44" t="n">
        <f aca="false">L32</f>
        <v>1000</v>
      </c>
      <c r="N32" s="44" t="n">
        <f aca="false">M32</f>
        <v>1000</v>
      </c>
    </row>
    <row r="33" s="40" customFormat="true" ht="12.75" hidden="false" customHeight="false" outlineLevel="0" collapsed="false">
      <c r="A33" s="47" t="s">
        <v>100</v>
      </c>
      <c r="B33" s="45"/>
      <c r="C33" s="48" t="e">
        <f aca="false">C$32*3600/C31</f>
        <v>#DIV/0!</v>
      </c>
      <c r="D33" s="48" t="e">
        <f aca="false">D$32*3600/D31</f>
        <v>#DIV/0!</v>
      </c>
      <c r="E33" s="48" t="e">
        <f aca="false">E$32*3600/E31</f>
        <v>#DIV/0!</v>
      </c>
      <c r="F33" s="48" t="e">
        <f aca="false">F$32*3600/F31</f>
        <v>#DIV/0!</v>
      </c>
      <c r="G33" s="48" t="e">
        <f aca="false">G$32*3600/G31</f>
        <v>#DIV/0!</v>
      </c>
      <c r="H33" s="48" t="e">
        <f aca="false">H$32*3600/H31</f>
        <v>#DIV/0!</v>
      </c>
      <c r="I33" s="48" t="e">
        <f aca="false">I$32*3600/I31</f>
        <v>#DIV/0!</v>
      </c>
      <c r="J33" s="48" t="e">
        <f aca="false">J$32*3600/J31</f>
        <v>#DIV/0!</v>
      </c>
      <c r="K33" s="48" t="e">
        <f aca="false">K$32*3600/K31</f>
        <v>#DIV/0!</v>
      </c>
      <c r="L33" s="48" t="e">
        <f aca="false">L$32*3600/L31</f>
        <v>#DIV/0!</v>
      </c>
      <c r="M33" s="48" t="e">
        <f aca="false">M$32*3600/M31</f>
        <v>#DIV/0!</v>
      </c>
      <c r="N33" s="48" t="e">
        <f aca="false">N$32*3600/N31</f>
        <v>#DIV/0!</v>
      </c>
    </row>
    <row r="34" s="40" customFormat="true" ht="12.75" hidden="false" customHeight="false" outlineLevel="0" collapsed="false">
      <c r="A34" s="45"/>
      <c r="B34" s="45"/>
      <c r="C34" s="46"/>
      <c r="D34" s="46"/>
      <c r="E34" s="49"/>
      <c r="F34" s="46"/>
      <c r="G34" s="46"/>
      <c r="H34" s="46"/>
      <c r="I34" s="46"/>
      <c r="J34" s="46"/>
      <c r="K34" s="46"/>
      <c r="L34" s="46"/>
      <c r="M34" s="46"/>
      <c r="N34" s="46"/>
    </row>
    <row r="36" customFormat="false" ht="12.75" hidden="false" customHeight="false" outlineLevel="0" collapsed="false">
      <c r="A36" s="11" t="s">
        <v>101</v>
      </c>
      <c r="C36" s="8" t="n">
        <f aca="false">TRFsetup!$B$3</f>
        <v>1</v>
      </c>
      <c r="D36" s="8" t="n">
        <f aca="false">TRFsetup!$B$3</f>
        <v>1</v>
      </c>
      <c r="E36" s="8" t="n">
        <f aca="false">TRFsetup!$B$3</f>
        <v>1</v>
      </c>
      <c r="F36" s="8" t="n">
        <f aca="false">TRFsetup!$B$3</f>
        <v>1</v>
      </c>
      <c r="G36" s="8" t="n">
        <f aca="false">TRFsetup!$B$3</f>
        <v>1</v>
      </c>
      <c r="H36" s="8" t="n">
        <f aca="false">TRFsetup!$B$3</f>
        <v>1</v>
      </c>
      <c r="I36" s="8" t="n">
        <f aca="false">TRFsetup!$B$3</f>
        <v>1</v>
      </c>
      <c r="J36" s="8" t="n">
        <f aca="false">TRFsetup!$B$3</f>
        <v>1</v>
      </c>
      <c r="K36" s="8" t="n">
        <f aca="false">TRFsetup!$B$3</f>
        <v>1</v>
      </c>
      <c r="L36" s="8" t="n">
        <f aca="false">TRFsetup!$B$3</f>
        <v>1</v>
      </c>
      <c r="M36" s="8" t="n">
        <f aca="false">TRFsetup!$B$3</f>
        <v>1</v>
      </c>
      <c r="N36" s="8" t="n">
        <f aca="false">TRFsetup!$B$3</f>
        <v>1</v>
      </c>
    </row>
    <row r="37" customFormat="false" ht="12.75" hidden="false" customHeight="false" outlineLevel="0" collapsed="false">
      <c r="A37" s="11" t="s">
        <v>102</v>
      </c>
      <c r="C37" s="50" t="n">
        <f aca="false">TRFsetup!$B$4</f>
        <v>10000</v>
      </c>
      <c r="D37" s="50" t="n">
        <f aca="false">TRFsetup!$B$4</f>
        <v>10000</v>
      </c>
      <c r="E37" s="50" t="n">
        <f aca="false">TRFsetup!$B$4</f>
        <v>10000</v>
      </c>
      <c r="F37" s="50" t="n">
        <f aca="false">TRFsetup!$B$4</f>
        <v>10000</v>
      </c>
      <c r="G37" s="50" t="n">
        <f aca="false">TRFsetup!$B$4</f>
        <v>10000</v>
      </c>
      <c r="H37" s="50" t="n">
        <f aca="false">TRFsetup!$B$4</f>
        <v>10000</v>
      </c>
      <c r="I37" s="50" t="n">
        <f aca="false">TRFsetup!$B$4</f>
        <v>10000</v>
      </c>
      <c r="J37" s="50" t="n">
        <f aca="false">TRFsetup!$B$4</f>
        <v>10000</v>
      </c>
      <c r="K37" s="50" t="n">
        <f aca="false">TRFsetup!$B$4</f>
        <v>10000</v>
      </c>
      <c r="L37" s="50" t="n">
        <f aca="false">TRFsetup!$B$4</f>
        <v>10000</v>
      </c>
      <c r="M37" s="50" t="n">
        <f aca="false">TRFsetup!$B$4</f>
        <v>10000</v>
      </c>
      <c r="N37" s="50" t="n">
        <f aca="false">TRFsetup!$B$4</f>
        <v>10000</v>
      </c>
    </row>
    <row r="38" customFormat="false" ht="12.75" hidden="false" customHeight="false" outlineLevel="0" collapsed="false">
      <c r="A38" s="11" t="s">
        <v>100</v>
      </c>
      <c r="C38" s="30" t="e">
        <f aca="false">C$33</f>
        <v>#DIV/0!</v>
      </c>
      <c r="D38" s="30" t="e">
        <f aca="false">D$33</f>
        <v>#DIV/0!</v>
      </c>
      <c r="E38" s="30" t="e">
        <f aca="false">E$33</f>
        <v>#DIV/0!</v>
      </c>
      <c r="F38" s="30" t="e">
        <f aca="false">F$33</f>
        <v>#DIV/0!</v>
      </c>
      <c r="G38" s="30" t="e">
        <f aca="false">G$33</f>
        <v>#DIV/0!</v>
      </c>
      <c r="H38" s="30" t="e">
        <f aca="false">H$33</f>
        <v>#DIV/0!</v>
      </c>
      <c r="I38" s="30" t="e">
        <f aca="false">I$33</f>
        <v>#DIV/0!</v>
      </c>
      <c r="J38" s="30" t="e">
        <f aca="false">J$33</f>
        <v>#DIV/0!</v>
      </c>
      <c r="K38" s="30" t="e">
        <f aca="false">K$33</f>
        <v>#DIV/0!</v>
      </c>
      <c r="L38" s="30" t="e">
        <f aca="false">L$33</f>
        <v>#DIV/0!</v>
      </c>
      <c r="M38" s="30" t="e">
        <f aca="false">M$33</f>
        <v>#DIV/0!</v>
      </c>
      <c r="N38" s="30" t="e">
        <f aca="false">N$33</f>
        <v>#DIV/0!</v>
      </c>
    </row>
    <row r="39" customFormat="false" ht="12.75" hidden="false" customHeight="false" outlineLevel="0" collapsed="false">
      <c r="A39" s="11" t="s">
        <v>42</v>
      </c>
      <c r="C39" s="8" t="n">
        <f aca="false">TRFsetup!$B$6</f>
        <v>0</v>
      </c>
      <c r="D39" s="8" t="n">
        <f aca="false">TRFsetup!$B$6</f>
        <v>0</v>
      </c>
      <c r="E39" s="8" t="n">
        <f aca="false">TRFsetup!$B$6</f>
        <v>0</v>
      </c>
      <c r="F39" s="8" t="n">
        <f aca="false">TRFsetup!$B$6</f>
        <v>0</v>
      </c>
      <c r="G39" s="8" t="n">
        <f aca="false">TRFsetup!$B$6</f>
        <v>0</v>
      </c>
      <c r="H39" s="8" t="n">
        <f aca="false">TRFsetup!$B$6</f>
        <v>0</v>
      </c>
      <c r="I39" s="8" t="n">
        <f aca="false">TRFsetup!$B$6</f>
        <v>0</v>
      </c>
      <c r="J39" s="8" t="n">
        <f aca="false">TRFsetup!$B$6</f>
        <v>0</v>
      </c>
      <c r="K39" s="8" t="n">
        <f aca="false">TRFsetup!$B$6</f>
        <v>0</v>
      </c>
      <c r="L39" s="8" t="n">
        <f aca="false">TRFsetup!$B$6</f>
        <v>0</v>
      </c>
      <c r="M39" s="8" t="n">
        <f aca="false">TRFsetup!$B$6</f>
        <v>0</v>
      </c>
      <c r="N39" s="8" t="n">
        <f aca="false">TRFsetup!$B$6</f>
        <v>0</v>
      </c>
    </row>
    <row r="40" customFormat="false" ht="12.75" hidden="false" customHeight="false" outlineLevel="0" collapsed="false">
      <c r="A40" s="11" t="s">
        <v>103</v>
      </c>
      <c r="C40" s="51" t="n">
        <f aca="false">TRFsetup!$B$7</f>
        <v>100</v>
      </c>
      <c r="D40" s="51" t="n">
        <f aca="false">TRFsetup!$B$7</f>
        <v>100</v>
      </c>
      <c r="E40" s="51" t="n">
        <f aca="false">TRFsetup!$B$7</f>
        <v>100</v>
      </c>
      <c r="F40" s="51" t="n">
        <f aca="false">TRFsetup!$B$7</f>
        <v>100</v>
      </c>
      <c r="G40" s="51" t="n">
        <f aca="false">TRFsetup!$B$7</f>
        <v>100</v>
      </c>
      <c r="H40" s="51" t="n">
        <f aca="false">TRFsetup!$B$7</f>
        <v>100</v>
      </c>
      <c r="I40" s="51" t="n">
        <f aca="false">TRFsetup!$B$7</f>
        <v>100</v>
      </c>
      <c r="J40" s="51" t="n">
        <f aca="false">TRFsetup!$B$7</f>
        <v>100</v>
      </c>
      <c r="K40" s="51" t="n">
        <f aca="false">TRFsetup!$B$7</f>
        <v>100</v>
      </c>
      <c r="L40" s="51" t="n">
        <f aca="false">TRFsetup!$B$7</f>
        <v>100</v>
      </c>
      <c r="M40" s="51" t="n">
        <f aca="false">TRFsetup!$B$7</f>
        <v>100</v>
      </c>
      <c r="N40" s="51" t="n">
        <f aca="false">TRFsetup!$B$7</f>
        <v>100</v>
      </c>
    </row>
    <row r="41" customFormat="false" ht="12.75" hidden="false" customHeight="false" outlineLevel="0" collapsed="false">
      <c r="A41" s="11" t="s">
        <v>104</v>
      </c>
      <c r="C41" s="51" t="n">
        <f aca="false">TRFsetup!$B$8</f>
        <v>100</v>
      </c>
      <c r="D41" s="51" t="n">
        <f aca="false">TRFsetup!$B$8</f>
        <v>100</v>
      </c>
      <c r="E41" s="51" t="n">
        <f aca="false">TRFsetup!$B$8</f>
        <v>100</v>
      </c>
      <c r="F41" s="51" t="n">
        <f aca="false">TRFsetup!$B$8</f>
        <v>100</v>
      </c>
      <c r="G41" s="51" t="n">
        <f aca="false">TRFsetup!$B$8</f>
        <v>100</v>
      </c>
      <c r="H41" s="51" t="n">
        <f aca="false">TRFsetup!$B$8</f>
        <v>100</v>
      </c>
      <c r="I41" s="51" t="n">
        <f aca="false">TRFsetup!$B$8</f>
        <v>100</v>
      </c>
      <c r="J41" s="51" t="n">
        <f aca="false">TRFsetup!$B$8</f>
        <v>100</v>
      </c>
      <c r="K41" s="51" t="n">
        <f aca="false">TRFsetup!$B$8</f>
        <v>100</v>
      </c>
      <c r="L41" s="51" t="n">
        <f aca="false">TRFsetup!$B$8</f>
        <v>100</v>
      </c>
      <c r="M41" s="51" t="n">
        <f aca="false">TRFsetup!$B$8</f>
        <v>100</v>
      </c>
      <c r="N41" s="51" t="n">
        <f aca="false">TRFsetup!$B$8</f>
        <v>100</v>
      </c>
    </row>
    <row r="42" customFormat="false" ht="12.75" hidden="false" customHeight="true" outlineLevel="0" collapsed="false">
      <c r="A42" s="11" t="s">
        <v>105</v>
      </c>
      <c r="C42" s="50" t="n">
        <f aca="false">TRFsetup!$B$9</f>
        <v>50</v>
      </c>
      <c r="D42" s="50" t="n">
        <f aca="false">TRFsetup!$B$9</f>
        <v>50</v>
      </c>
      <c r="E42" s="50" t="n">
        <f aca="false">TRFsetup!$B$9</f>
        <v>50</v>
      </c>
      <c r="F42" s="50" t="n">
        <f aca="false">TRFsetup!$B$9</f>
        <v>50</v>
      </c>
      <c r="G42" s="50" t="n">
        <f aca="false">TRFsetup!$B$9</f>
        <v>50</v>
      </c>
      <c r="H42" s="50" t="n">
        <f aca="false">TRFsetup!$B$9</f>
        <v>50</v>
      </c>
      <c r="I42" s="50" t="n">
        <f aca="false">TRFsetup!$B$9</f>
        <v>50</v>
      </c>
      <c r="J42" s="50" t="n">
        <f aca="false">TRFsetup!$B$9</f>
        <v>50</v>
      </c>
      <c r="K42" s="50" t="n">
        <f aca="false">TRFsetup!$B$9</f>
        <v>50</v>
      </c>
      <c r="L42" s="50" t="n">
        <f aca="false">TRFsetup!$B$9</f>
        <v>50</v>
      </c>
      <c r="M42" s="50" t="n">
        <f aca="false">TRFsetup!$B$9</f>
        <v>50</v>
      </c>
      <c r="N42" s="50" t="n">
        <f aca="false">TRFsetup!$B$9</f>
        <v>50</v>
      </c>
    </row>
    <row r="43" customFormat="false" ht="13.5" hidden="false" customHeight="true" outlineLevel="0" collapsed="false">
      <c r="A43" s="11" t="s">
        <v>106</v>
      </c>
      <c r="C43" s="50" t="n">
        <f aca="false">TRFsetup!$B$10</f>
        <v>50</v>
      </c>
      <c r="D43" s="50" t="n">
        <f aca="false">TRFsetup!$B$10</f>
        <v>50</v>
      </c>
      <c r="E43" s="50" t="n">
        <f aca="false">TRFsetup!$B$10</f>
        <v>50</v>
      </c>
      <c r="F43" s="50" t="n">
        <f aca="false">TRFsetup!$B$10</f>
        <v>50</v>
      </c>
      <c r="G43" s="50" t="n">
        <f aca="false">TRFsetup!$B$10</f>
        <v>50</v>
      </c>
      <c r="H43" s="50" t="n">
        <f aca="false">TRFsetup!$B$10</f>
        <v>50</v>
      </c>
      <c r="I43" s="50" t="n">
        <f aca="false">TRFsetup!$B$10</f>
        <v>50</v>
      </c>
      <c r="J43" s="50" t="n">
        <f aca="false">TRFsetup!$B$10</f>
        <v>50</v>
      </c>
      <c r="K43" s="50" t="n">
        <f aca="false">TRFsetup!$B$10</f>
        <v>50</v>
      </c>
      <c r="L43" s="50" t="n">
        <f aca="false">TRFsetup!$B$10</f>
        <v>50</v>
      </c>
      <c r="M43" s="50" t="n">
        <f aca="false">TRFsetup!$B$10</f>
        <v>50</v>
      </c>
      <c r="N43" s="50" t="n">
        <f aca="false">TRFsetup!$B$10</f>
        <v>50</v>
      </c>
    </row>
    <row r="44" customFormat="false" ht="13.5" hidden="false" customHeight="true" outlineLevel="0" collapsed="false">
      <c r="A44" s="11" t="s">
        <v>107</v>
      </c>
      <c r="C44" s="8" t="n">
        <f aca="false">TRFsetup!$B$11</f>
        <v>6</v>
      </c>
      <c r="D44" s="8" t="n">
        <f aca="false">TRFsetup!$B$11</f>
        <v>6</v>
      </c>
      <c r="E44" s="8" t="n">
        <f aca="false">TRFsetup!$B$11</f>
        <v>6</v>
      </c>
      <c r="F44" s="8" t="n">
        <f aca="false">TRFsetup!$B$11</f>
        <v>6</v>
      </c>
      <c r="G44" s="8" t="n">
        <f aca="false">TRFsetup!$B$11</f>
        <v>6</v>
      </c>
      <c r="H44" s="8" t="n">
        <f aca="false">TRFsetup!$B$11</f>
        <v>6</v>
      </c>
      <c r="I44" s="8" t="n">
        <f aca="false">TRFsetup!$B$11</f>
        <v>6</v>
      </c>
      <c r="J44" s="8" t="n">
        <f aca="false">TRFsetup!$B$11</f>
        <v>6</v>
      </c>
      <c r="K44" s="8" t="n">
        <f aca="false">TRFsetup!$B$11</f>
        <v>6</v>
      </c>
      <c r="L44" s="8" t="n">
        <f aca="false">TRFsetup!$B$11</f>
        <v>6</v>
      </c>
      <c r="M44" s="8" t="n">
        <f aca="false">TRFsetup!$B$11</f>
        <v>6</v>
      </c>
      <c r="N44" s="8" t="n">
        <f aca="false">TRFsetup!$B$11</f>
        <v>6</v>
      </c>
    </row>
    <row r="45" customFormat="false" ht="13.5" hidden="false" customHeight="true" outlineLevel="0" collapsed="false">
      <c r="A45" s="11" t="s">
        <v>48</v>
      </c>
      <c r="C45" s="51" t="n">
        <v>0</v>
      </c>
      <c r="D45" s="51" t="n">
        <v>1</v>
      </c>
      <c r="E45" s="51" t="n">
        <v>2</v>
      </c>
      <c r="F45" s="51" t="n">
        <v>3</v>
      </c>
      <c r="G45" s="51" t="n">
        <v>4</v>
      </c>
      <c r="H45" s="51" t="n">
        <v>5</v>
      </c>
      <c r="I45" s="51" t="n">
        <v>6</v>
      </c>
      <c r="J45" s="51" t="n">
        <v>7</v>
      </c>
      <c r="K45" s="51" t="n">
        <v>8</v>
      </c>
      <c r="L45" s="51" t="n">
        <v>9</v>
      </c>
      <c r="M45" s="51" t="n">
        <v>10</v>
      </c>
      <c r="N45" s="51" t="n">
        <v>11</v>
      </c>
    </row>
    <row r="46" customFormat="false" ht="13.5" hidden="false" customHeight="true" outlineLevel="0" collapsed="false">
      <c r="A46" s="11" t="s">
        <v>49</v>
      </c>
      <c r="C46" s="8" t="n">
        <f aca="false">TRFsetup!$B$13</f>
        <v>0</v>
      </c>
      <c r="D46" s="8" t="n">
        <f aca="false">TRFsetup!$B$13</f>
        <v>0</v>
      </c>
      <c r="E46" s="8" t="n">
        <f aca="false">TRFsetup!$B$13</f>
        <v>0</v>
      </c>
      <c r="F46" s="8" t="n">
        <f aca="false">TRFsetup!$B$13</f>
        <v>0</v>
      </c>
      <c r="G46" s="8" t="n">
        <f aca="false">TRFsetup!$B$13</f>
        <v>0</v>
      </c>
      <c r="H46" s="8" t="n">
        <f aca="false">TRFsetup!$B$13</f>
        <v>0</v>
      </c>
      <c r="I46" s="8" t="n">
        <f aca="false">TRFsetup!$B$13</f>
        <v>0</v>
      </c>
      <c r="J46" s="8" t="n">
        <f aca="false">TRFsetup!$B$13</f>
        <v>0</v>
      </c>
      <c r="K46" s="8" t="n">
        <f aca="false">TRFsetup!$B$13</f>
        <v>0</v>
      </c>
      <c r="L46" s="8" t="n">
        <f aca="false">TRFsetup!$B$13</f>
        <v>0</v>
      </c>
      <c r="M46" s="8" t="n">
        <f aca="false">TRFsetup!$B$13</f>
        <v>0</v>
      </c>
      <c r="N46" s="8" t="n">
        <f aca="false">TRFsetup!$B$13</f>
        <v>0</v>
      </c>
    </row>
    <row r="47" customFormat="false" ht="13.5" hidden="false" customHeight="true" outlineLevel="0" collapsed="false">
      <c r="A47" s="11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</row>
    <row r="48" customFormat="false" ht="13.5" hidden="false" customHeight="true" outlineLevel="0" collapsed="false">
      <c r="A48" s="11" t="s">
        <v>108</v>
      </c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</row>
    <row r="49" customFormat="false" ht="13.5" hidden="false" customHeight="true" outlineLevel="0" collapsed="false">
      <c r="A49" s="8" t="s">
        <v>55</v>
      </c>
    </row>
    <row r="50" customFormat="false" ht="13.5" hidden="false" customHeight="true" outlineLevel="0" collapsed="false">
      <c r="A50" s="8" t="s">
        <v>109</v>
      </c>
    </row>
    <row r="51" customFormat="false" ht="12.75" hidden="false" customHeight="false" outlineLevel="0" collapsed="false">
      <c r="A51" s="0" t="s">
        <v>110</v>
      </c>
      <c r="C51" s="52" t="n">
        <f aca="false">IF(C69,C8/C69,0.5)</f>
        <v>0.5</v>
      </c>
      <c r="D51" s="52" t="n">
        <f aca="false">IF(D69,D8/D69,0.5)</f>
        <v>0.5</v>
      </c>
      <c r="E51" s="52" t="n">
        <f aca="false">IF(E69,E8/E69,0.5)</f>
        <v>0.5</v>
      </c>
      <c r="F51" s="52" t="n">
        <f aca="false">IF(F69,F8/F69,0.5)</f>
        <v>0.5</v>
      </c>
      <c r="G51" s="52" t="n">
        <f aca="false">IF(G69,G8/G69,0.5)</f>
        <v>0.5</v>
      </c>
      <c r="H51" s="52" t="n">
        <f aca="false">IF(H69,H8/H69,0.5)</f>
        <v>0.5</v>
      </c>
      <c r="I51" s="52" t="n">
        <f aca="false">IF(I69,I8/I69,0.5)</f>
        <v>0.5</v>
      </c>
      <c r="J51" s="52" t="n">
        <f aca="false">IF(J69,J8/J69,0.5)</f>
        <v>0.5</v>
      </c>
      <c r="K51" s="52" t="n">
        <f aca="false">IF(K69,K8/K69,0.5)</f>
        <v>0.5</v>
      </c>
      <c r="L51" s="52" t="n">
        <f aca="false">IF(L69,L8/L69,0.5)</f>
        <v>0.5</v>
      </c>
      <c r="M51" s="52" t="n">
        <f aca="false">IF(M69,M8/M69,0.5)</f>
        <v>0.5</v>
      </c>
      <c r="N51" s="52" t="n">
        <f aca="false">IF(N69,N8/N69,0.5)</f>
        <v>0.5</v>
      </c>
    </row>
    <row r="52" customFormat="false" ht="12.75" hidden="false" customHeight="false" outlineLevel="0" collapsed="false">
      <c r="A52" s="0" t="s">
        <v>111</v>
      </c>
      <c r="C52" s="52" t="n">
        <f aca="false">IF(C70,C9/C70,0.5)</f>
        <v>0.5</v>
      </c>
      <c r="D52" s="52" t="n">
        <f aca="false">IF(D70,D9/D70,0.5)</f>
        <v>0.5</v>
      </c>
      <c r="E52" s="52" t="n">
        <f aca="false">IF(E70,E9/E70,0.5)</f>
        <v>0.5</v>
      </c>
      <c r="F52" s="52" t="n">
        <f aca="false">IF(F70,F9/F70,0.5)</f>
        <v>0.5</v>
      </c>
      <c r="G52" s="52" t="n">
        <f aca="false">IF(G70,G9/G70,0.5)</f>
        <v>0.5</v>
      </c>
      <c r="H52" s="52" t="n">
        <f aca="false">IF(H70,H9/H70,0.5)</f>
        <v>0.5</v>
      </c>
      <c r="I52" s="52" t="n">
        <f aca="false">IF(I70,I9/I70,0.5)</f>
        <v>0.5</v>
      </c>
      <c r="J52" s="52" t="n">
        <f aca="false">IF(J70,J9/J70,0.5)</f>
        <v>0.5</v>
      </c>
      <c r="K52" s="52" t="n">
        <f aca="false">IF(K70,K9/K70,0.5)</f>
        <v>0.5</v>
      </c>
      <c r="L52" s="52" t="n">
        <f aca="false">IF(L70,L9/L70,0.5)</f>
        <v>0.5</v>
      </c>
      <c r="M52" s="52" t="n">
        <f aca="false">IF(M70,M9/M70,0.5)</f>
        <v>0.5</v>
      </c>
      <c r="N52" s="52" t="n">
        <f aca="false">IF(N70,N9/N70,0.5)</f>
        <v>0.5</v>
      </c>
    </row>
    <row r="53" customFormat="false" ht="12.75" hidden="false" customHeight="false" outlineLevel="0" collapsed="false">
      <c r="A53" s="0" t="s">
        <v>112</v>
      </c>
      <c r="C53" s="52" t="n">
        <f aca="false">IF(C71,C10/C71,0.5)</f>
        <v>0.5</v>
      </c>
      <c r="D53" s="52" t="n">
        <f aca="false">IF(D71,D10/D71,0.5)</f>
        <v>0.5</v>
      </c>
      <c r="E53" s="52" t="n">
        <f aca="false">IF(E71,E10/E71,0.5)</f>
        <v>0.5</v>
      </c>
      <c r="F53" s="52" t="n">
        <f aca="false">IF(F71,F10/F71,0.5)</f>
        <v>0.5</v>
      </c>
      <c r="G53" s="52" t="n">
        <f aca="false">IF(G71,G10/G71,0.5)</f>
        <v>0.5</v>
      </c>
      <c r="H53" s="52" t="n">
        <f aca="false">IF(H71,H10/H71,0.5)</f>
        <v>0.5</v>
      </c>
      <c r="I53" s="52" t="n">
        <f aca="false">IF(I71,I10/I71,0.5)</f>
        <v>0.5</v>
      </c>
      <c r="J53" s="52" t="n">
        <f aca="false">IF(J71,J10/J71,0.5)</f>
        <v>0.5</v>
      </c>
      <c r="K53" s="52" t="n">
        <f aca="false">IF(K71,K10/K71,0.5)</f>
        <v>0.5</v>
      </c>
      <c r="L53" s="52" t="n">
        <f aca="false">IF(L71,L10/L71,0.5)</f>
        <v>0.5</v>
      </c>
      <c r="M53" s="52" t="n">
        <f aca="false">IF(M71,M10/M71,0.5)</f>
        <v>0.5</v>
      </c>
      <c r="N53" s="52" t="n">
        <f aca="false">IF(N71,N10/N71,0.5)</f>
        <v>0.5</v>
      </c>
    </row>
    <row r="54" customFormat="false" ht="12.75" hidden="false" customHeight="false" outlineLevel="0" collapsed="false">
      <c r="A54" s="0" t="s">
        <v>113</v>
      </c>
      <c r="C54" s="52" t="n">
        <f aca="false">IF(C72,C11/C72,0.5)</f>
        <v>0.5</v>
      </c>
      <c r="D54" s="52" t="n">
        <f aca="false">IF(D72,D11/D72,0.5)</f>
        <v>0.5</v>
      </c>
      <c r="E54" s="52" t="n">
        <f aca="false">IF(E72,E11/E72,0.5)</f>
        <v>0.5</v>
      </c>
      <c r="F54" s="52" t="n">
        <f aca="false">IF(F72,F11/F72,0.5)</f>
        <v>0.5</v>
      </c>
      <c r="G54" s="52" t="n">
        <f aca="false">IF(G72,G11/G72,0.5)</f>
        <v>0.5</v>
      </c>
      <c r="H54" s="52" t="n">
        <f aca="false">IF(H72,H11/H72,0.5)</f>
        <v>0.5</v>
      </c>
      <c r="I54" s="52" t="n">
        <f aca="false">IF(I72,I11/I72,0.5)</f>
        <v>0.5</v>
      </c>
      <c r="J54" s="52" t="n">
        <f aca="false">IF(J72,J11/J72,0.5)</f>
        <v>0.5</v>
      </c>
      <c r="K54" s="52" t="n">
        <f aca="false">IF(K72,K11/K72,0.5)</f>
        <v>0.5</v>
      </c>
      <c r="L54" s="52" t="n">
        <f aca="false">IF(L72,L11/L72,0.5)</f>
        <v>0.5</v>
      </c>
      <c r="M54" s="52" t="n">
        <f aca="false">IF(M72,M11/M72,0.5)</f>
        <v>0.5</v>
      </c>
      <c r="N54" s="52" t="n">
        <f aca="false">IF(N72,N11/N72,0.5)</f>
        <v>0.5</v>
      </c>
    </row>
    <row r="55" customFormat="false" ht="12.75" hidden="false" customHeight="false" outlineLevel="0" collapsed="false">
      <c r="A55" s="0" t="s">
        <v>114</v>
      </c>
      <c r="C55" s="52" t="n">
        <f aca="false">IF(C73,C12/C73,0.5)</f>
        <v>0.5</v>
      </c>
      <c r="D55" s="52" t="n">
        <f aca="false">IF(D73,D12/D73,0.5)</f>
        <v>0.5</v>
      </c>
      <c r="E55" s="52" t="n">
        <f aca="false">IF(E73,E12/E73,0.5)</f>
        <v>0.5</v>
      </c>
      <c r="F55" s="52" t="n">
        <f aca="false">IF(F73,F12/F73,0.5)</f>
        <v>0.5</v>
      </c>
      <c r="G55" s="52" t="n">
        <f aca="false">IF(G73,G12/G73,0.5)</f>
        <v>0.5</v>
      </c>
      <c r="H55" s="52" t="n">
        <f aca="false">IF(H73,H12/H73,0.5)</f>
        <v>0.5</v>
      </c>
      <c r="I55" s="52" t="n">
        <f aca="false">IF(I73,I12/I73,0.5)</f>
        <v>0.5</v>
      </c>
      <c r="J55" s="52" t="n">
        <f aca="false">IF(J73,J12/J73,0.5)</f>
        <v>0.5</v>
      </c>
      <c r="K55" s="52" t="n">
        <f aca="false">IF(K73,K12/K73,0.5)</f>
        <v>0.5</v>
      </c>
      <c r="L55" s="52" t="n">
        <f aca="false">IF(L73,L12/L73,0.5)</f>
        <v>0.5</v>
      </c>
      <c r="M55" s="52" t="n">
        <f aca="false">IF(M73,M12/M73,0.5)</f>
        <v>0.5</v>
      </c>
      <c r="N55" s="52" t="n">
        <f aca="false">IF(N73,N12/N73,0.5)</f>
        <v>0.5</v>
      </c>
    </row>
    <row r="56" customFormat="false" ht="12.75" hidden="false" customHeight="false" outlineLevel="0" collapsed="false">
      <c r="A56" s="0" t="s">
        <v>115</v>
      </c>
      <c r="C56" s="52" t="n">
        <f aca="false">IF(C74,C13/C74,0.5)</f>
        <v>0.5</v>
      </c>
      <c r="D56" s="52" t="n">
        <f aca="false">IF(D74,D13/D74,0.5)</f>
        <v>0.5</v>
      </c>
      <c r="E56" s="52" t="n">
        <f aca="false">IF(E74,E13/E74,0.5)</f>
        <v>0.5</v>
      </c>
      <c r="F56" s="52" t="n">
        <f aca="false">IF(F74,F13/F74,0.5)</f>
        <v>0.5</v>
      </c>
      <c r="G56" s="52" t="n">
        <f aca="false">IF(G74,G13/G74,0.5)</f>
        <v>0.5</v>
      </c>
      <c r="H56" s="52" t="n">
        <f aca="false">IF(H74,H13/H74,0.5)</f>
        <v>0.5</v>
      </c>
      <c r="I56" s="52" t="n">
        <f aca="false">IF(I74,I13/I74,0.5)</f>
        <v>0.5</v>
      </c>
      <c r="J56" s="52" t="n">
        <f aca="false">IF(J74,J13/J74,0.5)</f>
        <v>0.5</v>
      </c>
      <c r="K56" s="52" t="n">
        <f aca="false">IF(K74,K13/K74,0.5)</f>
        <v>0.5</v>
      </c>
      <c r="L56" s="52" t="n">
        <f aca="false">IF(L74,L13/L74,0.5)</f>
        <v>0.5</v>
      </c>
      <c r="M56" s="52" t="n">
        <f aca="false">IF(M74,M13/M74,0.5)</f>
        <v>0.5</v>
      </c>
      <c r="N56" s="52" t="n">
        <f aca="false">IF(N74,N13/N74,0.5)</f>
        <v>0.5</v>
      </c>
    </row>
    <row r="57" customFormat="false" ht="12.75" hidden="false" customHeight="false" outlineLevel="0" collapsed="false">
      <c r="A57" s="8" t="s">
        <v>58</v>
      </c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</row>
    <row r="58" customFormat="false" ht="12.75" hidden="false" customHeight="false" outlineLevel="0" collapsed="false">
      <c r="A58" s="8" t="str">
        <f aca="false">A50</f>
        <v>Proportion</v>
      </c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</row>
    <row r="59" customFormat="false" ht="12.75" hidden="false" customHeight="false" outlineLevel="0" collapsed="false">
      <c r="A59" s="0" t="str">
        <f aca="false">A51</f>
        <v>CARS</v>
      </c>
      <c r="C59" s="52" t="n">
        <f aca="false">IF(C69,C19/C69,0.5)</f>
        <v>0.5</v>
      </c>
      <c r="D59" s="52" t="n">
        <f aca="false">IF(D69,D19/D69,0.5)</f>
        <v>0.5</v>
      </c>
      <c r="E59" s="52" t="n">
        <f aca="false">IF(E69,E19/E69,0.5)</f>
        <v>0.5</v>
      </c>
      <c r="F59" s="52" t="n">
        <f aca="false">IF(F69,F19/F69,0.5)</f>
        <v>0.5</v>
      </c>
      <c r="G59" s="52" t="n">
        <f aca="false">IF(G69,G19/G69,0.5)</f>
        <v>0.5</v>
      </c>
      <c r="H59" s="52" t="n">
        <f aca="false">IF(H69,H19/H69,0.5)</f>
        <v>0.5</v>
      </c>
      <c r="I59" s="52" t="n">
        <f aca="false">IF(I69,I19/I69,0.5)</f>
        <v>0.5</v>
      </c>
      <c r="J59" s="52" t="n">
        <f aca="false">IF(J69,J19/J69,0.5)</f>
        <v>0.5</v>
      </c>
      <c r="K59" s="52" t="n">
        <f aca="false">IF(K69,K19/K69,0.5)</f>
        <v>0.5</v>
      </c>
      <c r="L59" s="52" t="n">
        <f aca="false">IF(L69,L19/L69,0.5)</f>
        <v>0.5</v>
      </c>
      <c r="M59" s="52" t="n">
        <f aca="false">IF(M69,M19/M69,0.5)</f>
        <v>0.5</v>
      </c>
      <c r="N59" s="52" t="n">
        <f aca="false">IF(N69,N19/N69,0.5)</f>
        <v>0.5</v>
      </c>
    </row>
    <row r="60" customFormat="false" ht="12.75" hidden="false" customHeight="false" outlineLevel="0" collapsed="false">
      <c r="A60" s="0" t="str">
        <f aca="false">A52</f>
        <v>CAR TOW</v>
      </c>
      <c r="C60" s="52" t="n">
        <f aca="false">IF(C70,C20/C70,0.5)</f>
        <v>0.5</v>
      </c>
      <c r="D60" s="52" t="n">
        <f aca="false">IF(D70,D20/D70,0.5)</f>
        <v>0.5</v>
      </c>
      <c r="E60" s="52" t="n">
        <f aca="false">IF(E70,E20/E70,0.5)</f>
        <v>0.5</v>
      </c>
      <c r="F60" s="52" t="n">
        <f aca="false">IF(F70,F20/F70,0.5)</f>
        <v>0.5</v>
      </c>
      <c r="G60" s="52" t="n">
        <f aca="false">IF(G70,G20/G70,0.5)</f>
        <v>0.5</v>
      </c>
      <c r="H60" s="52" t="n">
        <f aca="false">IF(H70,H20/H70,0.5)</f>
        <v>0.5</v>
      </c>
      <c r="I60" s="52" t="n">
        <f aca="false">IF(I70,I20/I70,0.5)</f>
        <v>0.5</v>
      </c>
      <c r="J60" s="52" t="n">
        <f aca="false">IF(J70,J20/J70,0.5)</f>
        <v>0.5</v>
      </c>
      <c r="K60" s="52" t="n">
        <f aca="false">IF(K70,K20/K70,0.5)</f>
        <v>0.5</v>
      </c>
      <c r="L60" s="52" t="n">
        <f aca="false">IF(L70,L20/L70,0.5)</f>
        <v>0.5</v>
      </c>
      <c r="M60" s="52" t="n">
        <f aca="false">IF(M70,M20/M70,0.5)</f>
        <v>0.5</v>
      </c>
      <c r="N60" s="52" t="n">
        <f aca="false">IF(N70,N20/N70,0.5)</f>
        <v>0.5</v>
      </c>
    </row>
    <row r="61" customFormat="false" ht="12.75" hidden="false" customHeight="false" outlineLevel="0" collapsed="false">
      <c r="A61" s="0" t="str">
        <f aca="false">A53</f>
        <v>RIGIDS</v>
      </c>
      <c r="C61" s="52" t="n">
        <f aca="false">IF(C71,C21/C71,0.5)</f>
        <v>0.5</v>
      </c>
      <c r="D61" s="52" t="n">
        <f aca="false">IF(D71,D21/D71,0.5)</f>
        <v>0.5</v>
      </c>
      <c r="E61" s="52" t="n">
        <f aca="false">IF(E71,E21/E71,0.5)</f>
        <v>0.5</v>
      </c>
      <c r="F61" s="52" t="n">
        <f aca="false">IF(F71,F21/F71,0.5)</f>
        <v>0.5</v>
      </c>
      <c r="G61" s="52" t="n">
        <f aca="false">IF(G71,G21/G71,0.5)</f>
        <v>0.5</v>
      </c>
      <c r="H61" s="52" t="n">
        <f aca="false">IF(H71,H21/H71,0.5)</f>
        <v>0.5</v>
      </c>
      <c r="I61" s="52" t="n">
        <f aca="false">IF(I71,I21/I71,0.5)</f>
        <v>0.5</v>
      </c>
      <c r="J61" s="52" t="n">
        <f aca="false">IF(J71,J21/J71,0.5)</f>
        <v>0.5</v>
      </c>
      <c r="K61" s="52" t="n">
        <f aca="false">IF(K71,K21/K71,0.5)</f>
        <v>0.5</v>
      </c>
      <c r="L61" s="52" t="n">
        <f aca="false">IF(L71,L21/L71,0.5)</f>
        <v>0.5</v>
      </c>
      <c r="M61" s="52" t="n">
        <f aca="false">IF(M71,M21/M71,0.5)</f>
        <v>0.5</v>
      </c>
      <c r="N61" s="52" t="n">
        <f aca="false">IF(N71,N21/N71,0.5)</f>
        <v>0.5</v>
      </c>
    </row>
    <row r="62" customFormat="false" ht="12.75" hidden="false" customHeight="false" outlineLevel="0" collapsed="false">
      <c r="A62" s="0" t="str">
        <f aca="false">A54</f>
        <v>SGLARTC</v>
      </c>
      <c r="C62" s="52" t="n">
        <f aca="false">IF(C72,C22/C72,0.5)</f>
        <v>0.5</v>
      </c>
      <c r="D62" s="52" t="n">
        <f aca="false">IF(D72,D22/D72,0.5)</f>
        <v>0.5</v>
      </c>
      <c r="E62" s="52" t="n">
        <f aca="false">IF(E72,E22/E72,0.5)</f>
        <v>0.5</v>
      </c>
      <c r="F62" s="52" t="n">
        <f aca="false">IF(F72,F22/F72,0.5)</f>
        <v>0.5</v>
      </c>
      <c r="G62" s="52" t="n">
        <f aca="false">IF(G72,G22/G72,0.5)</f>
        <v>0.5</v>
      </c>
      <c r="H62" s="52" t="n">
        <f aca="false">IF(H72,H22/H72,0.5)</f>
        <v>0.5</v>
      </c>
      <c r="I62" s="52" t="n">
        <f aca="false">IF(I72,I22/I72,0.5)</f>
        <v>0.5</v>
      </c>
      <c r="J62" s="52" t="n">
        <f aca="false">IF(J72,J22/J72,0.5)</f>
        <v>0.5</v>
      </c>
      <c r="K62" s="52" t="n">
        <f aca="false">IF(K72,K22/K72,0.5)</f>
        <v>0.5</v>
      </c>
      <c r="L62" s="52" t="n">
        <f aca="false">IF(L72,L22/L72,0.5)</f>
        <v>0.5</v>
      </c>
      <c r="M62" s="52" t="n">
        <f aca="false">IF(M72,M22/M72,0.5)</f>
        <v>0.5</v>
      </c>
      <c r="N62" s="52" t="n">
        <f aca="false">IF(N72,N22/N72,0.5)</f>
        <v>0.5</v>
      </c>
    </row>
    <row r="63" customFormat="false" ht="12.75" hidden="false" customHeight="false" outlineLevel="0" collapsed="false">
      <c r="A63" s="0" t="str">
        <f aca="false">A55</f>
        <v>DBLARTC</v>
      </c>
      <c r="C63" s="52" t="n">
        <f aca="false">IF(C73,C23/C73,0.5)</f>
        <v>0.5</v>
      </c>
      <c r="D63" s="52" t="n">
        <f aca="false">IF(D73,D23/D73,0.5)</f>
        <v>0.5</v>
      </c>
      <c r="E63" s="52" t="n">
        <f aca="false">IF(E73,E23/E73,0.5)</f>
        <v>0.5</v>
      </c>
      <c r="F63" s="52" t="n">
        <f aca="false">IF(F73,F23/F73,0.5)</f>
        <v>0.5</v>
      </c>
      <c r="G63" s="52" t="n">
        <f aca="false">IF(G73,G23/G73,0.5)</f>
        <v>0.5</v>
      </c>
      <c r="H63" s="52" t="n">
        <f aca="false">IF(H73,H23/H73,0.5)</f>
        <v>0.5</v>
      </c>
      <c r="I63" s="52" t="n">
        <f aca="false">IF(I73,I23/I73,0.5)</f>
        <v>0.5</v>
      </c>
      <c r="J63" s="52" t="n">
        <f aca="false">IF(J73,J23/J73,0.5)</f>
        <v>0.5</v>
      </c>
      <c r="K63" s="52" t="n">
        <f aca="false">IF(K73,K23/K73,0.5)</f>
        <v>0.5</v>
      </c>
      <c r="L63" s="52" t="n">
        <f aca="false">IF(L73,L23/L73,0.5)</f>
        <v>0.5</v>
      </c>
      <c r="M63" s="52" t="n">
        <f aca="false">IF(M73,M23/M73,0.5)</f>
        <v>0.5</v>
      </c>
      <c r="N63" s="52" t="n">
        <f aca="false">IF(N73,N23/N73,0.5)</f>
        <v>0.5</v>
      </c>
    </row>
    <row r="64" customFormat="false" ht="12.75" hidden="false" customHeight="false" outlineLevel="0" collapsed="false">
      <c r="A64" s="0" t="str">
        <f aca="false">A56</f>
        <v>RDTRAIN</v>
      </c>
      <c r="C64" s="52" t="n">
        <f aca="false">IF(C74,C24/C74,0.5)</f>
        <v>0.5</v>
      </c>
      <c r="D64" s="52" t="n">
        <f aca="false">IF(D74,D24/D74,0.5)</f>
        <v>0.5</v>
      </c>
      <c r="E64" s="52" t="n">
        <f aca="false">IF(E74,E24/E74,0.5)</f>
        <v>0.5</v>
      </c>
      <c r="F64" s="52" t="n">
        <f aca="false">IF(F74,F24/F74,0.5)</f>
        <v>0.5</v>
      </c>
      <c r="G64" s="52" t="n">
        <f aca="false">IF(G74,G24/G74,0.5)</f>
        <v>0.5</v>
      </c>
      <c r="H64" s="52" t="n">
        <f aca="false">IF(H74,H24/H74,0.5)</f>
        <v>0.5</v>
      </c>
      <c r="I64" s="52" t="n">
        <f aca="false">IF(I74,I24/I74,0.5)</f>
        <v>0.5</v>
      </c>
      <c r="J64" s="52" t="n">
        <f aca="false">IF(J74,J24/J74,0.5)</f>
        <v>0.5</v>
      </c>
      <c r="K64" s="52" t="n">
        <f aca="false">IF(K74,K24/K74,0.5)</f>
        <v>0.5</v>
      </c>
      <c r="L64" s="52" t="n">
        <f aca="false">IF(L74,L24/L74,0.5)</f>
        <v>0.5</v>
      </c>
      <c r="M64" s="52" t="n">
        <f aca="false">IF(M74,M24/M74,0.5)</f>
        <v>0.5</v>
      </c>
      <c r="N64" s="52" t="n">
        <f aca="false">IF(N74,N24/N74,0.5)</f>
        <v>0.5</v>
      </c>
    </row>
    <row r="66" customFormat="false" ht="12.75" hidden="false" customHeight="false" outlineLevel="0" collapsed="false">
      <c r="A66" s="0" t="s">
        <v>116</v>
      </c>
    </row>
    <row r="67" customFormat="false" ht="12.75" hidden="false" customHeight="false" outlineLevel="0" collapsed="false">
      <c r="A67" s="8" t="s">
        <v>117</v>
      </c>
    </row>
    <row r="68" customFormat="false" ht="12.75" hidden="false" customHeight="false" outlineLevel="0" collapsed="false">
      <c r="A68" s="8" t="s">
        <v>118</v>
      </c>
    </row>
    <row r="69" customFormat="false" ht="12.75" hidden="false" customHeight="false" outlineLevel="0" collapsed="false">
      <c r="A69" s="0" t="str">
        <f aca="false">A51</f>
        <v>CARS</v>
      </c>
      <c r="C69" s="30" t="n">
        <f aca="false">C8+C19</f>
        <v>0</v>
      </c>
      <c r="D69" s="30" t="n">
        <f aca="false">D8+D19</f>
        <v>0</v>
      </c>
      <c r="E69" s="30" t="n">
        <f aca="false">E8+E19</f>
        <v>0</v>
      </c>
      <c r="F69" s="30" t="n">
        <f aca="false">F8+F19</f>
        <v>0</v>
      </c>
      <c r="G69" s="30" t="n">
        <f aca="false">G8+G19</f>
        <v>0</v>
      </c>
      <c r="H69" s="30" t="n">
        <f aca="false">H8+H19</f>
        <v>0</v>
      </c>
      <c r="I69" s="30" t="n">
        <f aca="false">I8+I19</f>
        <v>0</v>
      </c>
      <c r="J69" s="30" t="n">
        <f aca="false">J8+J19</f>
        <v>0</v>
      </c>
      <c r="K69" s="30" t="n">
        <f aca="false">K8+K19</f>
        <v>0</v>
      </c>
      <c r="L69" s="30" t="n">
        <f aca="false">L8+L19</f>
        <v>0</v>
      </c>
      <c r="M69" s="30" t="n">
        <f aca="false">M8+M19</f>
        <v>0</v>
      </c>
      <c r="N69" s="30" t="n">
        <f aca="false">N8+N19</f>
        <v>0</v>
      </c>
    </row>
    <row r="70" customFormat="false" ht="12.75" hidden="false" customHeight="false" outlineLevel="0" collapsed="false">
      <c r="A70" s="0" t="str">
        <f aca="false">A52</f>
        <v>CAR TOW</v>
      </c>
      <c r="C70" s="30" t="n">
        <f aca="false">C9+C20</f>
        <v>0</v>
      </c>
      <c r="D70" s="30" t="n">
        <f aca="false">D9+D20</f>
        <v>0</v>
      </c>
      <c r="E70" s="30" t="n">
        <f aca="false">E9+E20</f>
        <v>0</v>
      </c>
      <c r="F70" s="30" t="n">
        <f aca="false">F9+F20</f>
        <v>0</v>
      </c>
      <c r="G70" s="30" t="n">
        <f aca="false">G9+G20</f>
        <v>0</v>
      </c>
      <c r="H70" s="30" t="n">
        <f aca="false">H9+H20</f>
        <v>0</v>
      </c>
      <c r="I70" s="30" t="n">
        <f aca="false">I9+I20</f>
        <v>0</v>
      </c>
      <c r="J70" s="30" t="n">
        <f aca="false">J9+J20</f>
        <v>0</v>
      </c>
      <c r="K70" s="30" t="n">
        <f aca="false">K9+K20</f>
        <v>0</v>
      </c>
      <c r="L70" s="30" t="n">
        <f aca="false">L9+L20</f>
        <v>0</v>
      </c>
      <c r="M70" s="30" t="n">
        <f aca="false">M9+M20</f>
        <v>0</v>
      </c>
      <c r="N70" s="30" t="n">
        <f aca="false">N9+N20</f>
        <v>0</v>
      </c>
    </row>
    <row r="71" customFormat="false" ht="12.75" hidden="false" customHeight="false" outlineLevel="0" collapsed="false">
      <c r="A71" s="0" t="str">
        <f aca="false">A53</f>
        <v>RIGIDS</v>
      </c>
      <c r="C71" s="30" t="n">
        <f aca="false">C10+C21</f>
        <v>0</v>
      </c>
      <c r="D71" s="30" t="n">
        <f aca="false">D10+D21</f>
        <v>0</v>
      </c>
      <c r="E71" s="30" t="n">
        <f aca="false">E10+E21</f>
        <v>0</v>
      </c>
      <c r="F71" s="30" t="n">
        <f aca="false">F10+F21</f>
        <v>0</v>
      </c>
      <c r="G71" s="30" t="n">
        <f aca="false">G10+G21</f>
        <v>0</v>
      </c>
      <c r="H71" s="30" t="n">
        <f aca="false">H10+H21</f>
        <v>0</v>
      </c>
      <c r="I71" s="30" t="n">
        <f aca="false">I10+I21</f>
        <v>0</v>
      </c>
      <c r="J71" s="30" t="n">
        <f aca="false">J10+J21</f>
        <v>0</v>
      </c>
      <c r="K71" s="30" t="n">
        <f aca="false">K10+K21</f>
        <v>0</v>
      </c>
      <c r="L71" s="30" t="n">
        <f aca="false">L10+L21</f>
        <v>0</v>
      </c>
      <c r="M71" s="30" t="n">
        <f aca="false">M10+M21</f>
        <v>0</v>
      </c>
      <c r="N71" s="30" t="n">
        <f aca="false">N10+N21</f>
        <v>0</v>
      </c>
    </row>
    <row r="72" customFormat="false" ht="12.75" hidden="false" customHeight="false" outlineLevel="0" collapsed="false">
      <c r="A72" s="0" t="str">
        <f aca="false">A54</f>
        <v>SGLARTC</v>
      </c>
      <c r="C72" s="30" t="n">
        <f aca="false">C11+C22</f>
        <v>0</v>
      </c>
      <c r="D72" s="30" t="n">
        <f aca="false">D11+D22</f>
        <v>0</v>
      </c>
      <c r="E72" s="30" t="n">
        <f aca="false">E11+E22</f>
        <v>0</v>
      </c>
      <c r="F72" s="30" t="n">
        <f aca="false">F11+F22</f>
        <v>0</v>
      </c>
      <c r="G72" s="30" t="n">
        <f aca="false">G11+G22</f>
        <v>0</v>
      </c>
      <c r="H72" s="30" t="n">
        <f aca="false">H11+H22</f>
        <v>0</v>
      </c>
      <c r="I72" s="30" t="n">
        <f aca="false">I11+I22</f>
        <v>0</v>
      </c>
      <c r="J72" s="30" t="n">
        <f aca="false">J11+J22</f>
        <v>0</v>
      </c>
      <c r="K72" s="30" t="n">
        <f aca="false">K11+K22</f>
        <v>0</v>
      </c>
      <c r="L72" s="30" t="n">
        <f aca="false">L11+L22</f>
        <v>0</v>
      </c>
      <c r="M72" s="30" t="n">
        <f aca="false">M11+M22</f>
        <v>0</v>
      </c>
      <c r="N72" s="30" t="n">
        <f aca="false">N11+N22</f>
        <v>0</v>
      </c>
    </row>
    <row r="73" customFormat="false" ht="12.75" hidden="false" customHeight="false" outlineLevel="0" collapsed="false">
      <c r="A73" s="0" t="str">
        <f aca="false">A55</f>
        <v>DBLARTC</v>
      </c>
      <c r="C73" s="30" t="n">
        <f aca="false">C12+C23</f>
        <v>0</v>
      </c>
      <c r="D73" s="30" t="n">
        <f aca="false">D12+D23</f>
        <v>0</v>
      </c>
      <c r="E73" s="30" t="n">
        <f aca="false">E12+E23</f>
        <v>0</v>
      </c>
      <c r="F73" s="30" t="n">
        <f aca="false">F12+F23</f>
        <v>0</v>
      </c>
      <c r="G73" s="30" t="n">
        <f aca="false">G12+G23</f>
        <v>0</v>
      </c>
      <c r="H73" s="30" t="n">
        <f aca="false">H12+H23</f>
        <v>0</v>
      </c>
      <c r="I73" s="30" t="n">
        <f aca="false">I12+I23</f>
        <v>0</v>
      </c>
      <c r="J73" s="30" t="n">
        <f aca="false">J12+J23</f>
        <v>0</v>
      </c>
      <c r="K73" s="30" t="n">
        <f aca="false">K12+K23</f>
        <v>0</v>
      </c>
      <c r="L73" s="30" t="n">
        <f aca="false">L12+L23</f>
        <v>0</v>
      </c>
      <c r="M73" s="30" t="n">
        <f aca="false">M12+M23</f>
        <v>0</v>
      </c>
      <c r="N73" s="30" t="n">
        <f aca="false">N12+N23</f>
        <v>0</v>
      </c>
    </row>
    <row r="74" customFormat="false" ht="12.75" hidden="false" customHeight="false" outlineLevel="0" collapsed="false">
      <c r="A74" s="0" t="str">
        <f aca="false">A56</f>
        <v>RDTRAIN</v>
      </c>
      <c r="C74" s="30" t="n">
        <f aca="false">C13+C24</f>
        <v>0</v>
      </c>
      <c r="D74" s="30" t="n">
        <f aca="false">D13+D24</f>
        <v>0</v>
      </c>
      <c r="E74" s="30" t="n">
        <f aca="false">E13+E24</f>
        <v>0</v>
      </c>
      <c r="F74" s="30" t="n">
        <f aca="false">F13+F24</f>
        <v>0</v>
      </c>
      <c r="G74" s="30" t="n">
        <f aca="false">G13+G24</f>
        <v>0</v>
      </c>
      <c r="H74" s="30" t="n">
        <f aca="false">H13+H24</f>
        <v>0</v>
      </c>
      <c r="I74" s="30" t="n">
        <f aca="false">I13+I24</f>
        <v>0</v>
      </c>
      <c r="J74" s="30" t="n">
        <f aca="false">J13+J24</f>
        <v>0</v>
      </c>
      <c r="K74" s="30" t="n">
        <f aca="false">K13+K24</f>
        <v>0</v>
      </c>
      <c r="L74" s="30" t="n">
        <f aca="false">L13+L24</f>
        <v>0</v>
      </c>
      <c r="M74" s="30" t="n">
        <f aca="false">M13+M24</f>
        <v>0</v>
      </c>
      <c r="N74" s="30" t="n">
        <f aca="false">N13+N24</f>
        <v>0</v>
      </c>
    </row>
    <row r="75" customFormat="false" ht="12.75" hidden="false" customHeight="false" outlineLevel="0" collapsed="false">
      <c r="H75" s="15"/>
    </row>
    <row r="76" customFormat="false" ht="12.75" hidden="false" customHeight="false" outlineLevel="0" collapsed="false">
      <c r="H76" s="15"/>
    </row>
    <row r="77" customFormat="false" ht="12.75" hidden="false" customHeight="false" outlineLevel="0" collapsed="false">
      <c r="A77" s="0" t="s">
        <v>119</v>
      </c>
      <c r="C77" s="53" t="n">
        <v>1</v>
      </c>
      <c r="D77" s="53" t="n">
        <v>1</v>
      </c>
      <c r="E77" s="53" t="n">
        <v>1</v>
      </c>
      <c r="F77" s="53" t="n">
        <v>1</v>
      </c>
      <c r="G77" s="53" t="n">
        <v>1</v>
      </c>
      <c r="H77" s="53" t="n">
        <v>1</v>
      </c>
      <c r="I77" s="53" t="n">
        <v>1</v>
      </c>
      <c r="J77" s="53" t="n">
        <v>1</v>
      </c>
      <c r="K77" s="53" t="n">
        <v>1</v>
      </c>
      <c r="L77" s="53" t="n">
        <v>1</v>
      </c>
      <c r="M77" s="53" t="n">
        <v>1</v>
      </c>
      <c r="N77" s="53" t="n">
        <v>1</v>
      </c>
    </row>
    <row r="78" customFormat="false" ht="12.75" hidden="false" customHeight="true" outlineLevel="0" collapsed="false">
      <c r="A78" s="0" t="s">
        <v>120</v>
      </c>
      <c r="C78" s="53" t="n">
        <v>1</v>
      </c>
      <c r="D78" s="53" t="n">
        <v>1</v>
      </c>
      <c r="E78" s="53" t="n">
        <v>1</v>
      </c>
      <c r="F78" s="53" t="n">
        <v>1</v>
      </c>
      <c r="G78" s="53" t="n">
        <v>1</v>
      </c>
      <c r="H78" s="53" t="n">
        <v>1</v>
      </c>
      <c r="I78" s="53" t="n">
        <v>1</v>
      </c>
      <c r="J78" s="53" t="n">
        <v>1</v>
      </c>
      <c r="K78" s="53" t="n">
        <v>1</v>
      </c>
      <c r="L78" s="53" t="n">
        <v>1</v>
      </c>
      <c r="M78" s="53" t="n">
        <v>1</v>
      </c>
      <c r="N78" s="53" t="n">
        <v>1</v>
      </c>
    </row>
    <row r="79" customFormat="false" ht="12.75" hidden="false" customHeight="false" outlineLevel="0" collapsed="false">
      <c r="A79" s="0" t="s">
        <v>121</v>
      </c>
      <c r="C79" s="53" t="n">
        <v>1</v>
      </c>
      <c r="D79" s="53" t="n">
        <v>1</v>
      </c>
      <c r="E79" s="53" t="n">
        <v>1</v>
      </c>
      <c r="F79" s="53" t="n">
        <v>1</v>
      </c>
      <c r="G79" s="53" t="n">
        <v>1</v>
      </c>
      <c r="H79" s="53" t="n">
        <v>1</v>
      </c>
      <c r="I79" s="53" t="n">
        <v>1</v>
      </c>
      <c r="J79" s="53" t="n">
        <v>1</v>
      </c>
      <c r="K79" s="53" t="n">
        <v>1</v>
      </c>
      <c r="L79" s="53" t="n">
        <v>1</v>
      </c>
      <c r="M79" s="53" t="n">
        <v>1</v>
      </c>
      <c r="N79" s="53" t="n">
        <v>1</v>
      </c>
    </row>
    <row r="80" customFormat="false" ht="12.75" hidden="false" customHeight="false" outlineLevel="0" collapsed="false">
      <c r="A80" s="0" t="s">
        <v>122</v>
      </c>
      <c r="C80" s="53" t="n">
        <v>1</v>
      </c>
      <c r="D80" s="53" t="n">
        <v>1</v>
      </c>
      <c r="E80" s="53" t="n">
        <v>1</v>
      </c>
      <c r="F80" s="53" t="n">
        <v>1</v>
      </c>
      <c r="G80" s="53" t="n">
        <v>1</v>
      </c>
      <c r="H80" s="53" t="n">
        <v>1</v>
      </c>
      <c r="I80" s="53" t="n">
        <v>1</v>
      </c>
      <c r="J80" s="53" t="n">
        <v>1</v>
      </c>
      <c r="K80" s="53" t="n">
        <v>1</v>
      </c>
      <c r="L80" s="53" t="n">
        <v>1</v>
      </c>
      <c r="M80" s="53" t="n">
        <v>1</v>
      </c>
      <c r="N80" s="53" t="n">
        <v>1</v>
      </c>
    </row>
    <row r="81" customFormat="false" ht="12.75" hidden="false" customHeight="false" outlineLevel="0" collapsed="false">
      <c r="A81" s="0" t="s">
        <v>123</v>
      </c>
      <c r="C81" s="53" t="n">
        <v>1</v>
      </c>
      <c r="D81" s="53" t="n">
        <v>1</v>
      </c>
      <c r="E81" s="53" t="n">
        <v>1</v>
      </c>
      <c r="F81" s="53" t="n">
        <v>1</v>
      </c>
      <c r="G81" s="53" t="n">
        <v>1</v>
      </c>
      <c r="H81" s="53" t="n">
        <v>1</v>
      </c>
      <c r="I81" s="53" t="n">
        <v>1</v>
      </c>
      <c r="J81" s="53" t="n">
        <v>1</v>
      </c>
      <c r="K81" s="53" t="n">
        <v>1</v>
      </c>
      <c r="L81" s="53" t="n">
        <v>1</v>
      </c>
      <c r="M81" s="53" t="n">
        <v>1</v>
      </c>
      <c r="N81" s="53" t="n">
        <v>1</v>
      </c>
    </row>
    <row r="82" customFormat="false" ht="12.75" hidden="false" customHeight="false" outlineLevel="0" collapsed="false">
      <c r="A82" s="0" t="s">
        <v>124</v>
      </c>
      <c r="C82" s="53" t="n">
        <v>1</v>
      </c>
      <c r="D82" s="53" t="n">
        <v>1</v>
      </c>
      <c r="E82" s="53" t="n">
        <v>1</v>
      </c>
      <c r="F82" s="53" t="n">
        <v>1</v>
      </c>
      <c r="G82" s="53" t="n">
        <v>1</v>
      </c>
      <c r="H82" s="53" t="n">
        <v>1</v>
      </c>
      <c r="I82" s="53" t="n">
        <v>1</v>
      </c>
      <c r="J82" s="53" t="n">
        <v>1</v>
      </c>
      <c r="K82" s="53" t="n">
        <v>1</v>
      </c>
      <c r="L82" s="53" t="n">
        <v>1</v>
      </c>
      <c r="M82" s="53" t="n">
        <v>1</v>
      </c>
      <c r="N82" s="53" t="n">
        <v>1</v>
      </c>
    </row>
    <row r="83" customFormat="false" ht="12.75" hidden="false" customHeight="true" outlineLevel="0" collapsed="false">
      <c r="A83" s="0" t="s">
        <v>125</v>
      </c>
      <c r="C83" s="53" t="n">
        <v>1</v>
      </c>
      <c r="D83" s="53" t="n">
        <v>1</v>
      </c>
      <c r="E83" s="53" t="n">
        <v>1</v>
      </c>
      <c r="F83" s="53" t="n">
        <v>1</v>
      </c>
      <c r="G83" s="53" t="n">
        <v>1</v>
      </c>
      <c r="H83" s="53" t="n">
        <v>1</v>
      </c>
      <c r="I83" s="53" t="n">
        <v>1</v>
      </c>
      <c r="J83" s="53" t="n">
        <v>1</v>
      </c>
      <c r="K83" s="53" t="n">
        <v>1</v>
      </c>
      <c r="L83" s="53" t="n">
        <v>1</v>
      </c>
      <c r="M83" s="53" t="n">
        <v>1</v>
      </c>
      <c r="N83" s="53" t="n">
        <v>1</v>
      </c>
    </row>
    <row r="84" customFormat="false" ht="12.75" hidden="false" customHeight="false" outlineLevel="0" collapsed="false">
      <c r="A84" s="0" t="s">
        <v>126</v>
      </c>
      <c r="C84" s="53" t="n">
        <v>1</v>
      </c>
      <c r="D84" s="53" t="n">
        <v>1</v>
      </c>
      <c r="E84" s="53" t="n">
        <v>1</v>
      </c>
      <c r="F84" s="53" t="n">
        <v>1</v>
      </c>
      <c r="G84" s="53" t="n">
        <v>1</v>
      </c>
      <c r="H84" s="53" t="n">
        <v>1</v>
      </c>
      <c r="I84" s="53" t="n">
        <v>1</v>
      </c>
      <c r="J84" s="53" t="n">
        <v>1</v>
      </c>
      <c r="K84" s="53" t="n">
        <v>1</v>
      </c>
      <c r="L84" s="53" t="n">
        <v>1</v>
      </c>
      <c r="M84" s="53" t="n">
        <v>1</v>
      </c>
      <c r="N84" s="53" t="n">
        <v>1</v>
      </c>
    </row>
    <row r="85" customFormat="false" ht="12.75" hidden="false" customHeight="false" outlineLevel="0" collapsed="false">
      <c r="A85" s="0" t="s">
        <v>127</v>
      </c>
      <c r="C85" s="53" t="n">
        <v>1</v>
      </c>
      <c r="D85" s="53" t="n">
        <v>1</v>
      </c>
      <c r="E85" s="53" t="n">
        <v>1</v>
      </c>
      <c r="F85" s="53" t="n">
        <v>1</v>
      </c>
      <c r="G85" s="53" t="n">
        <v>1</v>
      </c>
      <c r="H85" s="53" t="n">
        <v>1</v>
      </c>
      <c r="I85" s="53" t="n">
        <v>1</v>
      </c>
      <c r="J85" s="53" t="n">
        <v>1</v>
      </c>
      <c r="K85" s="53" t="n">
        <v>1</v>
      </c>
      <c r="L85" s="53" t="n">
        <v>1</v>
      </c>
      <c r="M85" s="53" t="n">
        <v>1</v>
      </c>
      <c r="N85" s="53" t="n">
        <v>1</v>
      </c>
    </row>
    <row r="86" customFormat="false" ht="12.75" hidden="false" customHeight="false" outlineLevel="0" collapsed="false">
      <c r="A86" s="0" t="s">
        <v>128</v>
      </c>
      <c r="C86" s="53" t="n">
        <v>1</v>
      </c>
      <c r="D86" s="53" t="n">
        <v>1</v>
      </c>
      <c r="E86" s="53" t="n">
        <v>1</v>
      </c>
      <c r="F86" s="53" t="n">
        <v>1</v>
      </c>
      <c r="G86" s="53" t="n">
        <v>1</v>
      </c>
      <c r="H86" s="53" t="n">
        <v>1</v>
      </c>
      <c r="I86" s="53" t="n">
        <v>1</v>
      </c>
      <c r="J86" s="53" t="n">
        <v>1</v>
      </c>
      <c r="K86" s="53" t="n">
        <v>1</v>
      </c>
      <c r="L86" s="53" t="n">
        <v>1</v>
      </c>
      <c r="M86" s="53" t="n">
        <v>1</v>
      </c>
      <c r="N86" s="53" t="n">
        <v>1</v>
      </c>
    </row>
    <row r="88" customFormat="false" ht="12.75" hidden="false" customHeight="false" outlineLevel="0" collapsed="false">
      <c r="A88" s="0" t="s">
        <v>129</v>
      </c>
      <c r="C88" s="53" t="n">
        <v>209774</v>
      </c>
      <c r="D88" s="53" t="n">
        <v>44467</v>
      </c>
      <c r="E88" s="53" t="n">
        <v>414176</v>
      </c>
      <c r="F88" s="53" t="n">
        <v>752495</v>
      </c>
      <c r="G88" s="53" t="n">
        <v>574030</v>
      </c>
      <c r="H88" s="53" t="n">
        <v>480847</v>
      </c>
      <c r="I88" s="53" t="n">
        <v>190926</v>
      </c>
      <c r="J88" s="53" t="n">
        <v>898659</v>
      </c>
      <c r="K88" s="53" t="n">
        <v>506144</v>
      </c>
      <c r="L88" s="53" t="n">
        <v>287667</v>
      </c>
      <c r="M88" s="53" t="n">
        <v>180009</v>
      </c>
      <c r="N88" s="53" t="n">
        <v>554630</v>
      </c>
    </row>
    <row r="89" customFormat="false" ht="12.75" hidden="false" customHeight="false" outlineLevel="0" collapsed="false">
      <c r="A89" s="0" t="s">
        <v>130</v>
      </c>
      <c r="C89" s="53" t="n">
        <v>272164</v>
      </c>
      <c r="D89" s="53" t="n">
        <v>372425</v>
      </c>
      <c r="E89" s="53" t="n">
        <v>13650</v>
      </c>
      <c r="F89" s="53" t="n">
        <v>950577</v>
      </c>
      <c r="G89" s="53" t="n">
        <v>753646</v>
      </c>
      <c r="H89" s="53" t="n">
        <v>845184</v>
      </c>
      <c r="I89" s="53" t="n">
        <v>723477</v>
      </c>
      <c r="J89" s="53" t="n">
        <v>338744</v>
      </c>
      <c r="K89" s="53" t="n">
        <v>487650</v>
      </c>
      <c r="L89" s="53" t="n">
        <v>787983</v>
      </c>
      <c r="M89" s="53" t="n">
        <v>463448</v>
      </c>
      <c r="N89" s="53" t="n">
        <v>849149</v>
      </c>
    </row>
    <row r="90" customFormat="false" ht="12.75" hidden="false" customHeight="true" outlineLevel="0" collapsed="false">
      <c r="A90" s="0" t="s">
        <v>131</v>
      </c>
      <c r="C90" s="53" t="n">
        <v>191943</v>
      </c>
      <c r="D90" s="53" t="n">
        <v>315554</v>
      </c>
      <c r="E90" s="53" t="n">
        <v>139288</v>
      </c>
      <c r="F90" s="53" t="n">
        <v>272099</v>
      </c>
      <c r="G90" s="53" t="n">
        <v>746264</v>
      </c>
      <c r="H90" s="53" t="n">
        <v>375229</v>
      </c>
      <c r="I90" s="53" t="n">
        <v>62947</v>
      </c>
      <c r="J90" s="53" t="n">
        <v>307400</v>
      </c>
      <c r="K90" s="53" t="n">
        <v>43302</v>
      </c>
      <c r="L90" s="53" t="n">
        <v>388894</v>
      </c>
      <c r="M90" s="53" t="n">
        <v>286950</v>
      </c>
      <c r="N90" s="53" t="n">
        <v>460040</v>
      </c>
    </row>
    <row r="91" customFormat="false" ht="12.75" hidden="false" customHeight="false" outlineLevel="0" collapsed="false">
      <c r="A91" s="0" t="s">
        <v>132</v>
      </c>
      <c r="C91" s="53" t="n">
        <v>330415</v>
      </c>
      <c r="D91" s="53" t="n">
        <v>519552</v>
      </c>
      <c r="E91" s="53" t="n">
        <v>430539</v>
      </c>
      <c r="F91" s="53" t="n">
        <v>549939</v>
      </c>
      <c r="G91" s="53" t="n">
        <v>39399</v>
      </c>
      <c r="H91" s="53" t="n">
        <v>745061</v>
      </c>
      <c r="I91" s="53" t="n">
        <v>99761</v>
      </c>
      <c r="J91" s="53" t="n">
        <v>19080</v>
      </c>
      <c r="K91" s="53" t="n">
        <v>439534</v>
      </c>
      <c r="L91" s="53" t="n">
        <v>977501</v>
      </c>
      <c r="M91" s="53" t="n">
        <v>786987</v>
      </c>
      <c r="N91" s="53" t="n">
        <v>789060</v>
      </c>
    </row>
    <row r="92" customFormat="false" ht="12.75" hidden="false" customHeight="false" outlineLevel="0" collapsed="false">
      <c r="A92" s="0" t="s">
        <v>133</v>
      </c>
      <c r="C92" s="53" t="n">
        <v>85307</v>
      </c>
      <c r="D92" s="53" t="n">
        <v>106898</v>
      </c>
      <c r="E92" s="53" t="n">
        <v>896212</v>
      </c>
      <c r="F92" s="53" t="n">
        <v>512233</v>
      </c>
      <c r="G92" s="53" t="n">
        <v>75511</v>
      </c>
      <c r="H92" s="53" t="n">
        <v>707121</v>
      </c>
      <c r="I92" s="53" t="n">
        <v>521147</v>
      </c>
      <c r="J92" s="53" t="n">
        <v>450683</v>
      </c>
      <c r="K92" s="53" t="n">
        <v>619779</v>
      </c>
      <c r="L92" s="53" t="n">
        <v>455365</v>
      </c>
      <c r="M92" s="53" t="n">
        <v>269828</v>
      </c>
      <c r="N92" s="53" t="n">
        <v>902344</v>
      </c>
    </row>
    <row r="93" customFormat="false" ht="13.5" hidden="false" customHeight="true" outlineLevel="0" collapsed="false">
      <c r="A93" s="0" t="s">
        <v>134</v>
      </c>
      <c r="C93" s="53" t="n">
        <v>633471</v>
      </c>
      <c r="D93" s="53" t="n">
        <v>909154</v>
      </c>
      <c r="E93" s="53" t="n">
        <v>493367</v>
      </c>
      <c r="F93" s="53" t="n">
        <v>178813</v>
      </c>
      <c r="G93" s="53" t="n">
        <v>436569</v>
      </c>
      <c r="H93" s="53" t="n">
        <v>628423</v>
      </c>
      <c r="I93" s="53" t="n">
        <v>651506</v>
      </c>
      <c r="J93" s="53" t="n">
        <v>415089</v>
      </c>
      <c r="K93" s="53" t="n">
        <v>813960</v>
      </c>
      <c r="L93" s="53" t="n">
        <v>881402</v>
      </c>
      <c r="M93" s="53" t="n">
        <v>770444</v>
      </c>
      <c r="N93" s="53" t="n">
        <v>613004</v>
      </c>
    </row>
    <row r="94" customFormat="false" ht="13.5" hidden="false" customHeight="true" outlineLevel="0" collapsed="false">
      <c r="A94" s="0" t="s">
        <v>135</v>
      </c>
      <c r="C94" s="53" t="n">
        <v>672769</v>
      </c>
      <c r="D94" s="53" t="n">
        <v>107356</v>
      </c>
      <c r="E94" s="53" t="n">
        <v>434204</v>
      </c>
      <c r="F94" s="53" t="n">
        <v>495597</v>
      </c>
      <c r="G94" s="53" t="n">
        <v>121608</v>
      </c>
      <c r="H94" s="53" t="n">
        <v>37891</v>
      </c>
      <c r="I94" s="53" t="n">
        <v>305326</v>
      </c>
      <c r="J94" s="53" t="n">
        <v>345380</v>
      </c>
      <c r="K94" s="53" t="n">
        <v>545375</v>
      </c>
      <c r="L94" s="53" t="n">
        <v>78870</v>
      </c>
      <c r="M94" s="53" t="n">
        <v>291297</v>
      </c>
      <c r="N94" s="53" t="n">
        <v>447920</v>
      </c>
    </row>
    <row r="95" customFormat="false" ht="13.5" hidden="false" customHeight="true" outlineLevel="0" collapsed="false">
      <c r="A95" s="0" t="s">
        <v>136</v>
      </c>
      <c r="C95" s="53" t="n">
        <v>977242</v>
      </c>
      <c r="D95" s="53" t="n">
        <v>386197</v>
      </c>
      <c r="E95" s="53" t="n">
        <v>341032</v>
      </c>
      <c r="F95" s="53" t="n">
        <v>642566</v>
      </c>
      <c r="G95" s="53" t="n">
        <v>939575</v>
      </c>
      <c r="H95" s="53" t="n">
        <v>25520</v>
      </c>
      <c r="I95" s="53" t="n">
        <v>124514</v>
      </c>
      <c r="J95" s="53" t="n">
        <v>499194</v>
      </c>
      <c r="K95" s="53" t="n">
        <v>800176</v>
      </c>
      <c r="L95" s="53" t="n">
        <v>563553</v>
      </c>
      <c r="M95" s="53" t="n">
        <v>873199</v>
      </c>
      <c r="N95" s="53" t="n">
        <v>181145</v>
      </c>
    </row>
    <row r="96" customFormat="false" ht="13.5" hidden="false" customHeight="true" outlineLevel="0" collapsed="false">
      <c r="A96" s="0" t="s">
        <v>137</v>
      </c>
      <c r="C96" s="53" t="n">
        <v>54363</v>
      </c>
      <c r="D96" s="53" t="n">
        <v>680621</v>
      </c>
      <c r="E96" s="53" t="n">
        <v>601482</v>
      </c>
      <c r="F96" s="53" t="n">
        <v>723391</v>
      </c>
      <c r="G96" s="53" t="n">
        <v>80021</v>
      </c>
      <c r="H96" s="53" t="n">
        <v>438480</v>
      </c>
      <c r="I96" s="53" t="n">
        <v>32773</v>
      </c>
      <c r="J96" s="53" t="n">
        <v>381234</v>
      </c>
      <c r="K96" s="53" t="n">
        <v>808499</v>
      </c>
      <c r="L96" s="53" t="n">
        <v>458384</v>
      </c>
      <c r="M96" s="53" t="n">
        <v>225795</v>
      </c>
      <c r="N96" s="53" t="n">
        <v>901609</v>
      </c>
    </row>
    <row r="97" customFormat="false" ht="13.5" hidden="false" customHeight="true" outlineLevel="0" collapsed="false">
      <c r="A97" s="0" t="s">
        <v>138</v>
      </c>
      <c r="C97" s="53" t="n">
        <v>11398</v>
      </c>
      <c r="D97" s="53" t="n">
        <v>784884</v>
      </c>
      <c r="E97" s="53" t="n">
        <v>726115</v>
      </c>
      <c r="F97" s="53" t="n">
        <v>675085</v>
      </c>
      <c r="G97" s="53" t="n">
        <v>954562</v>
      </c>
      <c r="H97" s="53" t="n">
        <v>541427</v>
      </c>
      <c r="I97" s="53" t="n">
        <v>433236</v>
      </c>
      <c r="J97" s="53" t="n">
        <v>646888</v>
      </c>
      <c r="K97" s="53" t="n">
        <v>859961</v>
      </c>
      <c r="L97" s="53" t="n">
        <v>366631</v>
      </c>
      <c r="M97" s="53" t="n">
        <v>480112</v>
      </c>
      <c r="N97" s="53" t="n">
        <v>845861</v>
      </c>
    </row>
    <row r="98" customFormat="false" ht="13.5" hidden="false" customHeight="true" outlineLevel="0" collapsed="false"/>
  </sheetData>
  <printOptions headings="false" gridLines="false" gridLinesSet="true" horizontalCentered="false" verticalCentered="false"/>
  <pageMargins left="0.39375" right="0.393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R3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75" zeroHeight="true" outlineLevelRow="0" outlineLevelCol="0"/>
  <cols>
    <col collapsed="false" customWidth="true" hidden="false" outlineLevel="0" max="1" min="1" style="54" width="2.71"/>
    <col collapsed="false" customWidth="true" hidden="false" outlineLevel="0" max="2" min="2" style="55" width="12.71"/>
    <col collapsed="false" customWidth="true" hidden="false" outlineLevel="0" max="17" min="3" style="55" width="8.71"/>
    <col collapsed="false" customWidth="true" hidden="false" outlineLevel="0" max="18" min="18" style="55" width="8.86"/>
    <col collapsed="false" customWidth="true" hidden="false" outlineLevel="0" max="98" min="19" style="54" width="9.14"/>
    <col collapsed="false" customWidth="true" hidden="false" outlineLevel="0" max="99" min="99" style="54" width="2.71"/>
    <col collapsed="false" customWidth="true" hidden="false" outlineLevel="0" max="100" min="100" style="54" width="12.71"/>
    <col collapsed="false" customWidth="true" hidden="false" outlineLevel="0" max="116" min="101" style="54" width="6.71"/>
    <col collapsed="false" customWidth="true" hidden="false" outlineLevel="0" max="117" min="117" style="54" width="2.71"/>
    <col collapsed="false" customWidth="true" hidden="true" outlineLevel="0" max="354" min="118" style="54" width="9.14"/>
    <col collapsed="false" customWidth="true" hidden="false" outlineLevel="0" max="355" min="355" style="54" width="2.71"/>
    <col collapsed="false" customWidth="true" hidden="false" outlineLevel="0" max="356" min="356" style="54" width="12.71"/>
    <col collapsed="false" customWidth="true" hidden="false" outlineLevel="0" max="372" min="357" style="54" width="6.71"/>
    <col collapsed="false" customWidth="true" hidden="false" outlineLevel="0" max="373" min="373" style="54" width="2.71"/>
    <col collapsed="false" customWidth="true" hidden="true" outlineLevel="0" max="610" min="374" style="54" width="9.14"/>
    <col collapsed="false" customWidth="true" hidden="false" outlineLevel="0" max="611" min="611" style="54" width="2.71"/>
    <col collapsed="false" customWidth="true" hidden="false" outlineLevel="0" max="612" min="612" style="54" width="12.71"/>
    <col collapsed="false" customWidth="true" hidden="false" outlineLevel="0" max="628" min="613" style="54" width="6.71"/>
    <col collapsed="false" customWidth="true" hidden="false" outlineLevel="0" max="629" min="629" style="54" width="2.71"/>
    <col collapsed="false" customWidth="true" hidden="true" outlineLevel="0" max="866" min="630" style="54" width="9.14"/>
    <col collapsed="false" customWidth="true" hidden="false" outlineLevel="0" max="867" min="867" style="54" width="2.71"/>
    <col collapsed="false" customWidth="true" hidden="false" outlineLevel="0" max="868" min="868" style="54" width="12.71"/>
    <col collapsed="false" customWidth="true" hidden="false" outlineLevel="0" max="884" min="869" style="54" width="6.71"/>
    <col collapsed="false" customWidth="true" hidden="false" outlineLevel="0" max="885" min="885" style="54" width="2.71"/>
    <col collapsed="false" customWidth="true" hidden="true" outlineLevel="0" max="1025" min="886" style="54" width="9.14"/>
  </cols>
  <sheetData>
    <row r="1" customFormat="false" ht="12.75" hidden="false" customHeight="false" outlineLevel="0" collapsed="false">
      <c r="A1" s="5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</row>
    <row r="2" customFormat="false" ht="12.75" hidden="false" customHeight="false" outlineLevel="0" collapsed="false">
      <c r="A2" s="56"/>
      <c r="B2" s="57" t="s">
        <v>139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</row>
    <row r="3" customFormat="false" ht="12.75" hidden="false" customHeight="false" outlineLevel="0" collapsed="false">
      <c r="A3" s="56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</row>
    <row r="4" customFormat="false" ht="15.75" hidden="false" customHeight="false" outlineLevel="0" collapsed="false">
      <c r="A4" s="56"/>
      <c r="B4" s="59" t="s">
        <v>140</v>
      </c>
      <c r="C4" s="60" t="s">
        <v>141</v>
      </c>
      <c r="D4" s="61"/>
      <c r="E4" s="61"/>
      <c r="F4" s="61"/>
      <c r="G4" s="61"/>
      <c r="H4" s="61"/>
      <c r="I4" s="61"/>
      <c r="J4" s="61"/>
      <c r="K4" s="61"/>
      <c r="L4" s="61"/>
      <c r="M4" s="62" t="s">
        <v>142</v>
      </c>
      <c r="N4" s="62"/>
      <c r="O4" s="62"/>
      <c r="P4" s="62" t="s">
        <v>143</v>
      </c>
      <c r="Q4" s="62"/>
      <c r="R4" s="63"/>
    </row>
    <row r="5" customFormat="false" ht="12.75" hidden="false" customHeight="true" outlineLevel="0" collapsed="false">
      <c r="A5" s="56"/>
      <c r="B5" s="64" t="s">
        <v>144</v>
      </c>
      <c r="C5" s="65" t="s">
        <v>145</v>
      </c>
      <c r="D5" s="65"/>
      <c r="E5" s="65"/>
      <c r="F5" s="66"/>
      <c r="G5" s="67" t="s">
        <v>146</v>
      </c>
      <c r="H5" s="68"/>
      <c r="I5" s="68"/>
      <c r="J5" s="69" t="n">
        <v>1276</v>
      </c>
      <c r="K5" s="69"/>
      <c r="L5" s="70"/>
      <c r="M5" s="71"/>
      <c r="N5" s="72"/>
      <c r="O5" s="72"/>
      <c r="P5" s="71"/>
      <c r="Q5" s="72"/>
      <c r="R5" s="73"/>
    </row>
    <row r="6" customFormat="false" ht="19.5" hidden="false" customHeight="true" outlineLevel="0" collapsed="false">
      <c r="A6" s="56"/>
      <c r="B6" s="64"/>
      <c r="C6" s="65"/>
      <c r="D6" s="65"/>
      <c r="E6" s="65"/>
      <c r="F6" s="66"/>
      <c r="G6" s="74" t="s">
        <v>147</v>
      </c>
      <c r="H6" s="75"/>
      <c r="I6" s="75"/>
      <c r="J6" s="76" t="n">
        <v>90.3</v>
      </c>
      <c r="K6" s="76"/>
      <c r="L6" s="77"/>
      <c r="M6" s="71"/>
      <c r="N6" s="72"/>
      <c r="O6" s="72"/>
      <c r="P6" s="71"/>
      <c r="Q6" s="72"/>
      <c r="R6" s="73"/>
    </row>
    <row r="7" customFormat="false" ht="15.75" hidden="false" customHeight="false" outlineLevel="0" collapsed="false">
      <c r="A7" s="56"/>
      <c r="B7" s="78" t="s">
        <v>148</v>
      </c>
      <c r="C7" s="79" t="n">
        <v>95435</v>
      </c>
      <c r="D7" s="80"/>
      <c r="E7" s="80"/>
      <c r="F7" s="80"/>
      <c r="G7" s="74" t="s">
        <v>149</v>
      </c>
      <c r="H7" s="75"/>
      <c r="I7" s="75"/>
      <c r="J7" s="76" t="n">
        <v>94.2</v>
      </c>
      <c r="K7" s="76"/>
      <c r="L7" s="77"/>
      <c r="M7" s="80"/>
      <c r="N7" s="80"/>
      <c r="O7" s="80"/>
      <c r="P7" s="81" t="s">
        <v>150</v>
      </c>
      <c r="Q7" s="81"/>
      <c r="R7" s="82"/>
    </row>
    <row r="8" customFormat="false" ht="18" hidden="false" customHeight="true" outlineLevel="0" collapsed="false">
      <c r="A8" s="56"/>
      <c r="B8" s="78" t="s">
        <v>151</v>
      </c>
      <c r="C8" s="83" t="s">
        <v>152</v>
      </c>
      <c r="D8" s="83"/>
      <c r="E8" s="84"/>
      <c r="F8" s="80"/>
      <c r="G8" s="85" t="s">
        <v>153</v>
      </c>
      <c r="H8" s="86"/>
      <c r="I8" s="86"/>
      <c r="J8" s="87" t="n">
        <v>0.2003</v>
      </c>
      <c r="K8" s="87"/>
      <c r="L8" s="88"/>
      <c r="M8" s="80"/>
      <c r="N8" s="80"/>
      <c r="O8" s="80"/>
      <c r="P8" s="71"/>
      <c r="Q8" s="89"/>
      <c r="R8" s="73"/>
    </row>
    <row r="9" customFormat="false" ht="17.25" hidden="false" customHeight="true" outlineLevel="0" collapsed="false">
      <c r="A9" s="56"/>
      <c r="B9" s="90" t="s">
        <v>154</v>
      </c>
      <c r="C9" s="91" t="s">
        <v>155</v>
      </c>
      <c r="D9" s="91"/>
      <c r="E9" s="92"/>
      <c r="F9" s="92"/>
      <c r="G9" s="92"/>
      <c r="H9" s="92"/>
      <c r="I9" s="92"/>
      <c r="J9" s="92"/>
      <c r="K9" s="93"/>
      <c r="L9" s="91"/>
      <c r="M9" s="91"/>
      <c r="N9" s="94"/>
      <c r="O9" s="94"/>
      <c r="P9" s="94"/>
      <c r="Q9" s="95" t="s">
        <v>156</v>
      </c>
      <c r="R9" s="96"/>
    </row>
    <row r="10" customFormat="false" ht="12.75" hidden="false" customHeight="false" outlineLevel="0" collapsed="false">
      <c r="A10" s="56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</row>
    <row r="11" customFormat="false" ht="25.5" hidden="false" customHeight="true" outlineLevel="0" collapsed="false">
      <c r="A11" s="56"/>
      <c r="B11" s="97" t="s">
        <v>157</v>
      </c>
      <c r="C11" s="98" t="s">
        <v>158</v>
      </c>
      <c r="D11" s="99"/>
      <c r="E11" s="99"/>
      <c r="F11" s="99"/>
      <c r="G11" s="99"/>
      <c r="H11" s="99"/>
      <c r="I11" s="99"/>
      <c r="J11" s="100" t="s">
        <v>159</v>
      </c>
      <c r="K11" s="100"/>
      <c r="L11" s="100"/>
      <c r="M11" s="100"/>
      <c r="N11" s="100"/>
      <c r="O11" s="100"/>
      <c r="P11" s="100"/>
      <c r="Q11" s="100"/>
      <c r="R11" s="101"/>
    </row>
    <row r="12" customFormat="false" ht="12.75" hidden="false" customHeight="true" outlineLevel="0" collapsed="false">
      <c r="A12" s="56"/>
      <c r="B12" s="102"/>
      <c r="C12" s="103" t="n">
        <v>1</v>
      </c>
      <c r="D12" s="103" t="n">
        <v>2</v>
      </c>
      <c r="E12" s="103" t="n">
        <v>3</v>
      </c>
      <c r="F12" s="103" t="n">
        <v>4</v>
      </c>
      <c r="G12" s="103" t="n">
        <v>5</v>
      </c>
      <c r="H12" s="103" t="n">
        <v>6</v>
      </c>
      <c r="I12" s="103" t="n">
        <v>7</v>
      </c>
      <c r="J12" s="103" t="n">
        <v>8</v>
      </c>
      <c r="K12" s="103" t="n">
        <v>9</v>
      </c>
      <c r="L12" s="103" t="n">
        <v>10</v>
      </c>
      <c r="M12" s="103" t="n">
        <v>11</v>
      </c>
      <c r="N12" s="103" t="n">
        <v>12</v>
      </c>
      <c r="O12" s="103" t="n">
        <v>13</v>
      </c>
      <c r="P12" s="104" t="s">
        <v>160</v>
      </c>
      <c r="Q12" s="105" t="s">
        <v>161</v>
      </c>
      <c r="R12" s="106"/>
    </row>
    <row r="13" customFormat="false" ht="12.75" hidden="false" customHeight="true" outlineLevel="0" collapsed="false">
      <c r="A13" s="56"/>
      <c r="B13" s="107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9"/>
      <c r="Q13" s="106" t="s">
        <v>162</v>
      </c>
      <c r="R13" s="110" t="s">
        <v>163</v>
      </c>
    </row>
    <row r="14" customFormat="false" ht="12.75" hidden="false" customHeight="false" outlineLevel="0" collapsed="false">
      <c r="A14" s="56"/>
      <c r="B14" s="111" t="s">
        <v>164</v>
      </c>
      <c r="C14" s="112" t="n">
        <v>0</v>
      </c>
      <c r="D14" s="112" t="n">
        <v>0</v>
      </c>
      <c r="E14" s="112" t="n">
        <v>0</v>
      </c>
      <c r="F14" s="112" t="n">
        <v>0</v>
      </c>
      <c r="G14" s="112" t="n">
        <v>0</v>
      </c>
      <c r="H14" s="112" t="n">
        <v>0</v>
      </c>
      <c r="I14" s="112" t="n">
        <v>0</v>
      </c>
      <c r="J14" s="112" t="n">
        <v>0</v>
      </c>
      <c r="K14" s="112" t="n">
        <v>0</v>
      </c>
      <c r="L14" s="112" t="n">
        <v>0</v>
      </c>
      <c r="M14" s="112" t="n">
        <v>0</v>
      </c>
      <c r="N14" s="112" t="n">
        <v>0</v>
      </c>
      <c r="O14" s="112" t="n">
        <v>0</v>
      </c>
      <c r="P14" s="113" t="n">
        <v>9</v>
      </c>
      <c r="Q14" s="114" t="n">
        <v>90.5</v>
      </c>
      <c r="R14" s="115" t="s">
        <v>165</v>
      </c>
    </row>
    <row r="15" customFormat="false" ht="12.75" hidden="false" customHeight="false" outlineLevel="0" collapsed="false">
      <c r="A15" s="56"/>
      <c r="B15" s="111" t="s">
        <v>166</v>
      </c>
      <c r="C15" s="112" t="n">
        <v>0</v>
      </c>
      <c r="D15" s="112" t="n">
        <v>0</v>
      </c>
      <c r="E15" s="112" t="n">
        <v>0</v>
      </c>
      <c r="F15" s="112" t="n">
        <v>0</v>
      </c>
      <c r="G15" s="112" t="n">
        <v>0</v>
      </c>
      <c r="H15" s="112" t="n">
        <v>0</v>
      </c>
      <c r="I15" s="112" t="n">
        <v>0</v>
      </c>
      <c r="J15" s="112" t="n">
        <v>0</v>
      </c>
      <c r="K15" s="112" t="n">
        <v>0</v>
      </c>
      <c r="L15" s="112" t="n">
        <v>0</v>
      </c>
      <c r="M15" s="112" t="n">
        <v>0</v>
      </c>
      <c r="N15" s="112" t="n">
        <v>0</v>
      </c>
      <c r="O15" s="112" t="n">
        <v>0</v>
      </c>
      <c r="P15" s="113" t="n">
        <v>8</v>
      </c>
      <c r="Q15" s="114" t="n">
        <v>89.4</v>
      </c>
      <c r="R15" s="115" t="s">
        <v>165</v>
      </c>
    </row>
    <row r="16" customFormat="false" ht="12.75" hidden="false" customHeight="false" outlineLevel="0" collapsed="false">
      <c r="A16" s="56"/>
      <c r="B16" s="111" t="s">
        <v>167</v>
      </c>
      <c r="C16" s="112" t="n">
        <v>0</v>
      </c>
      <c r="D16" s="112" t="n">
        <v>0</v>
      </c>
      <c r="E16" s="112" t="n">
        <v>0</v>
      </c>
      <c r="F16" s="112" t="n">
        <v>0</v>
      </c>
      <c r="G16" s="112" t="n">
        <v>0</v>
      </c>
      <c r="H16" s="112" t="n">
        <v>0</v>
      </c>
      <c r="I16" s="112" t="n">
        <v>0</v>
      </c>
      <c r="J16" s="112" t="n">
        <v>0</v>
      </c>
      <c r="K16" s="112" t="n">
        <v>0</v>
      </c>
      <c r="L16" s="112" t="n">
        <v>0</v>
      </c>
      <c r="M16" s="112" t="n">
        <v>0</v>
      </c>
      <c r="N16" s="112" t="n">
        <v>0</v>
      </c>
      <c r="O16" s="112" t="n">
        <v>0</v>
      </c>
      <c r="P16" s="113" t="n">
        <v>11</v>
      </c>
      <c r="Q16" s="114" t="n">
        <v>89.8</v>
      </c>
      <c r="R16" s="115" t="n">
        <v>92</v>
      </c>
    </row>
    <row r="17" customFormat="false" ht="12.75" hidden="false" customHeight="false" outlineLevel="0" collapsed="false">
      <c r="A17" s="56"/>
      <c r="B17" s="111" t="s">
        <v>168</v>
      </c>
      <c r="C17" s="112" t="n">
        <v>0</v>
      </c>
      <c r="D17" s="112" t="n">
        <v>0</v>
      </c>
      <c r="E17" s="112" t="n">
        <v>0</v>
      </c>
      <c r="F17" s="112" t="n">
        <v>0</v>
      </c>
      <c r="G17" s="112" t="n">
        <v>0</v>
      </c>
      <c r="H17" s="112" t="n">
        <v>0</v>
      </c>
      <c r="I17" s="112" t="n">
        <v>0</v>
      </c>
      <c r="J17" s="112" t="n">
        <v>0</v>
      </c>
      <c r="K17" s="112" t="n">
        <v>0</v>
      </c>
      <c r="L17" s="112" t="n">
        <v>0</v>
      </c>
      <c r="M17" s="112" t="n">
        <v>0</v>
      </c>
      <c r="N17" s="112" t="n">
        <v>0</v>
      </c>
      <c r="O17" s="112" t="n">
        <v>0</v>
      </c>
      <c r="P17" s="113" t="n">
        <v>9</v>
      </c>
      <c r="Q17" s="114" t="n">
        <v>90.5</v>
      </c>
      <c r="R17" s="115" t="s">
        <v>165</v>
      </c>
    </row>
    <row r="18" customFormat="false" ht="12.75" hidden="false" customHeight="false" outlineLevel="0" collapsed="false">
      <c r="A18" s="56"/>
      <c r="B18" s="111" t="s">
        <v>169</v>
      </c>
      <c r="C18" s="112" t="n">
        <v>0</v>
      </c>
      <c r="D18" s="112" t="n">
        <v>0</v>
      </c>
      <c r="E18" s="112" t="n">
        <v>0</v>
      </c>
      <c r="F18" s="112" t="n">
        <v>0</v>
      </c>
      <c r="G18" s="112" t="n">
        <v>0</v>
      </c>
      <c r="H18" s="112" t="n">
        <v>0</v>
      </c>
      <c r="I18" s="112" t="n">
        <v>0</v>
      </c>
      <c r="J18" s="112" t="n">
        <v>0</v>
      </c>
      <c r="K18" s="112" t="n">
        <v>0</v>
      </c>
      <c r="L18" s="112" t="n">
        <v>0</v>
      </c>
      <c r="M18" s="112" t="n">
        <v>0</v>
      </c>
      <c r="N18" s="112" t="n">
        <v>0</v>
      </c>
      <c r="O18" s="112" t="n">
        <v>0</v>
      </c>
      <c r="P18" s="113" t="n">
        <v>11</v>
      </c>
      <c r="Q18" s="114" t="n">
        <v>92.3</v>
      </c>
      <c r="R18" s="115" t="n">
        <v>98.1</v>
      </c>
    </row>
    <row r="19" customFormat="false" ht="12.75" hidden="false" customHeight="false" outlineLevel="0" collapsed="false">
      <c r="A19" s="56"/>
      <c r="B19" s="111" t="s">
        <v>170</v>
      </c>
      <c r="C19" s="112" t="n">
        <v>0</v>
      </c>
      <c r="D19" s="112" t="n">
        <v>0</v>
      </c>
      <c r="E19" s="112" t="n">
        <v>0</v>
      </c>
      <c r="F19" s="112" t="n">
        <v>0</v>
      </c>
      <c r="G19" s="112" t="n">
        <v>0</v>
      </c>
      <c r="H19" s="112" t="n">
        <v>0</v>
      </c>
      <c r="I19" s="112" t="n">
        <v>0</v>
      </c>
      <c r="J19" s="112" t="n">
        <v>0</v>
      </c>
      <c r="K19" s="112" t="n">
        <v>0</v>
      </c>
      <c r="L19" s="112" t="n">
        <v>0</v>
      </c>
      <c r="M19" s="112" t="n">
        <v>0</v>
      </c>
      <c r="N19" s="112" t="n">
        <v>0</v>
      </c>
      <c r="O19" s="112" t="n">
        <v>0</v>
      </c>
      <c r="P19" s="113" t="n">
        <v>19</v>
      </c>
      <c r="Q19" s="114" t="n">
        <v>90.5</v>
      </c>
      <c r="R19" s="115" t="n">
        <v>95.4</v>
      </c>
    </row>
    <row r="20" customFormat="false" ht="12.75" hidden="false" customHeight="false" outlineLevel="0" collapsed="false">
      <c r="A20" s="56"/>
      <c r="B20" s="111" t="s">
        <v>171</v>
      </c>
      <c r="C20" s="112" t="n">
        <v>0</v>
      </c>
      <c r="D20" s="112" t="n">
        <v>0</v>
      </c>
      <c r="E20" s="112" t="n">
        <v>0</v>
      </c>
      <c r="F20" s="112" t="n">
        <v>0</v>
      </c>
      <c r="G20" s="112" t="n">
        <v>0</v>
      </c>
      <c r="H20" s="112" t="n">
        <v>0</v>
      </c>
      <c r="I20" s="112" t="n">
        <v>0</v>
      </c>
      <c r="J20" s="112" t="n">
        <v>0</v>
      </c>
      <c r="K20" s="112" t="n">
        <v>0</v>
      </c>
      <c r="L20" s="112" t="n">
        <v>0</v>
      </c>
      <c r="M20" s="112" t="n">
        <v>0</v>
      </c>
      <c r="N20" s="112" t="n">
        <v>0</v>
      </c>
      <c r="O20" s="112" t="n">
        <v>0</v>
      </c>
      <c r="P20" s="113" t="n">
        <v>46</v>
      </c>
      <c r="Q20" s="114" t="n">
        <v>90.5</v>
      </c>
      <c r="R20" s="115" t="n">
        <v>94.4</v>
      </c>
    </row>
    <row r="21" customFormat="false" ht="12.75" hidden="false" customHeight="false" outlineLevel="0" collapsed="false">
      <c r="A21" s="56"/>
      <c r="B21" s="111" t="s">
        <v>172</v>
      </c>
      <c r="C21" s="112" t="n">
        <v>0</v>
      </c>
      <c r="D21" s="112" t="n">
        <v>0</v>
      </c>
      <c r="E21" s="112" t="n">
        <v>0</v>
      </c>
      <c r="F21" s="112" t="n">
        <v>0</v>
      </c>
      <c r="G21" s="112" t="n">
        <v>0</v>
      </c>
      <c r="H21" s="112" t="n">
        <v>0</v>
      </c>
      <c r="I21" s="112" t="n">
        <v>0</v>
      </c>
      <c r="J21" s="112" t="n">
        <v>0</v>
      </c>
      <c r="K21" s="112" t="n">
        <v>0</v>
      </c>
      <c r="L21" s="112" t="n">
        <v>0</v>
      </c>
      <c r="M21" s="112" t="n">
        <v>0</v>
      </c>
      <c r="N21" s="112" t="n">
        <v>0</v>
      </c>
      <c r="O21" s="112" t="n">
        <v>0</v>
      </c>
      <c r="P21" s="113" t="n">
        <v>75</v>
      </c>
      <c r="Q21" s="114" t="n">
        <v>90.8</v>
      </c>
      <c r="R21" s="115" t="n">
        <v>94.4</v>
      </c>
    </row>
    <row r="22" customFormat="false" ht="12.75" hidden="false" customHeight="false" outlineLevel="0" collapsed="false">
      <c r="A22" s="116"/>
      <c r="B22" s="111" t="s">
        <v>173</v>
      </c>
      <c r="C22" s="112" t="n">
        <v>0</v>
      </c>
      <c r="D22" s="112" t="n">
        <v>0</v>
      </c>
      <c r="E22" s="112" t="n">
        <v>0</v>
      </c>
      <c r="F22" s="112" t="n">
        <v>0</v>
      </c>
      <c r="G22" s="112" t="n">
        <v>0</v>
      </c>
      <c r="H22" s="112" t="n">
        <v>0</v>
      </c>
      <c r="I22" s="112" t="n">
        <v>0</v>
      </c>
      <c r="J22" s="112" t="n">
        <v>0</v>
      </c>
      <c r="K22" s="112" t="n">
        <v>0</v>
      </c>
      <c r="L22" s="112" t="n">
        <v>0</v>
      </c>
      <c r="M22" s="112" t="n">
        <v>0</v>
      </c>
      <c r="N22" s="112" t="n">
        <v>0</v>
      </c>
      <c r="O22" s="112" t="n">
        <v>0</v>
      </c>
      <c r="P22" s="113" t="n">
        <v>82</v>
      </c>
      <c r="Q22" s="114" t="n">
        <v>90.3</v>
      </c>
      <c r="R22" s="115" t="n">
        <v>93.9</v>
      </c>
    </row>
    <row r="23" customFormat="false" ht="12.75" hidden="false" customHeight="false" outlineLevel="0" collapsed="false">
      <c r="A23" s="56"/>
      <c r="B23" s="111" t="s">
        <v>174</v>
      </c>
      <c r="C23" s="112" t="n">
        <v>0</v>
      </c>
      <c r="D23" s="112" t="n">
        <v>0</v>
      </c>
      <c r="E23" s="112" t="n">
        <v>0</v>
      </c>
      <c r="F23" s="112" t="n">
        <v>0</v>
      </c>
      <c r="G23" s="112" t="n">
        <v>0</v>
      </c>
      <c r="H23" s="112" t="n">
        <v>0</v>
      </c>
      <c r="I23" s="112" t="n">
        <v>0</v>
      </c>
      <c r="J23" s="112" t="n">
        <v>0</v>
      </c>
      <c r="K23" s="112" t="n">
        <v>0</v>
      </c>
      <c r="L23" s="112" t="n">
        <v>0</v>
      </c>
      <c r="M23" s="112" t="n">
        <v>0</v>
      </c>
      <c r="N23" s="112" t="n">
        <v>0</v>
      </c>
      <c r="O23" s="112" t="n">
        <v>0</v>
      </c>
      <c r="P23" s="113" t="n">
        <v>80</v>
      </c>
      <c r="Q23" s="114" t="n">
        <v>90</v>
      </c>
      <c r="R23" s="115" t="n">
        <v>93.9</v>
      </c>
    </row>
    <row r="24" customFormat="false" ht="12.75" hidden="false" customHeight="false" outlineLevel="0" collapsed="false">
      <c r="A24" s="56"/>
      <c r="B24" s="111" t="s">
        <v>175</v>
      </c>
      <c r="C24" s="112" t="n">
        <v>0</v>
      </c>
      <c r="D24" s="112" t="n">
        <v>0</v>
      </c>
      <c r="E24" s="112" t="n">
        <v>0</v>
      </c>
      <c r="F24" s="112" t="n">
        <v>0</v>
      </c>
      <c r="G24" s="112" t="n">
        <v>0</v>
      </c>
      <c r="H24" s="112" t="n">
        <v>0</v>
      </c>
      <c r="I24" s="112" t="n">
        <v>0</v>
      </c>
      <c r="J24" s="112" t="n">
        <v>0</v>
      </c>
      <c r="K24" s="112" t="n">
        <v>0</v>
      </c>
      <c r="L24" s="112" t="n">
        <v>0</v>
      </c>
      <c r="M24" s="112" t="n">
        <v>0</v>
      </c>
      <c r="N24" s="112" t="n">
        <v>0</v>
      </c>
      <c r="O24" s="112" t="n">
        <v>0</v>
      </c>
      <c r="P24" s="113" t="n">
        <v>72</v>
      </c>
      <c r="Q24" s="114" t="n">
        <v>89.8</v>
      </c>
      <c r="R24" s="115" t="n">
        <v>93.9</v>
      </c>
    </row>
    <row r="25" customFormat="false" ht="12.75" hidden="false" customHeight="false" outlineLevel="0" collapsed="false">
      <c r="A25" s="116"/>
      <c r="B25" s="117" t="s">
        <v>176</v>
      </c>
      <c r="C25" s="112" t="n">
        <v>0</v>
      </c>
      <c r="D25" s="112" t="n">
        <v>0</v>
      </c>
      <c r="E25" s="112" t="n">
        <v>0</v>
      </c>
      <c r="F25" s="112" t="n">
        <v>0</v>
      </c>
      <c r="G25" s="112" t="n">
        <v>0</v>
      </c>
      <c r="H25" s="112" t="n">
        <v>0</v>
      </c>
      <c r="I25" s="112" t="n">
        <v>0</v>
      </c>
      <c r="J25" s="112" t="n">
        <v>0</v>
      </c>
      <c r="K25" s="112" t="n">
        <v>0</v>
      </c>
      <c r="L25" s="112" t="n">
        <v>0</v>
      </c>
      <c r="M25" s="112" t="n">
        <v>0</v>
      </c>
      <c r="N25" s="112" t="n">
        <v>0</v>
      </c>
      <c r="O25" s="112" t="n">
        <v>0</v>
      </c>
      <c r="P25" s="118" t="n">
        <v>80</v>
      </c>
      <c r="Q25" s="119" t="n">
        <v>89.8</v>
      </c>
      <c r="R25" s="120" t="n">
        <v>93.9</v>
      </c>
    </row>
    <row r="26" customFormat="false" ht="12.75" hidden="false" customHeight="false" outlineLevel="0" collapsed="false">
      <c r="A26" s="56"/>
      <c r="B26" s="121" t="s">
        <v>177</v>
      </c>
      <c r="C26" s="112" t="n">
        <v>0</v>
      </c>
      <c r="D26" s="112" t="n">
        <v>0</v>
      </c>
      <c r="E26" s="112" t="n">
        <v>0</v>
      </c>
      <c r="F26" s="112" t="n">
        <v>0</v>
      </c>
      <c r="G26" s="112" t="n">
        <v>0</v>
      </c>
      <c r="H26" s="112" t="n">
        <v>0</v>
      </c>
      <c r="I26" s="112" t="n">
        <v>0</v>
      </c>
      <c r="J26" s="112" t="n">
        <v>0</v>
      </c>
      <c r="K26" s="112" t="n">
        <v>0</v>
      </c>
      <c r="L26" s="112" t="n">
        <v>0</v>
      </c>
      <c r="M26" s="112" t="n">
        <v>0</v>
      </c>
      <c r="N26" s="112" t="n">
        <v>0</v>
      </c>
      <c r="O26" s="112" t="n">
        <v>0</v>
      </c>
      <c r="P26" s="122" t="n">
        <v>78</v>
      </c>
      <c r="Q26" s="123" t="n">
        <v>89.5</v>
      </c>
      <c r="R26" s="124" t="n">
        <v>93.3</v>
      </c>
    </row>
    <row r="27" customFormat="false" ht="12.75" hidden="false" customHeight="false" outlineLevel="0" collapsed="false">
      <c r="A27" s="56"/>
      <c r="B27" s="111" t="s">
        <v>178</v>
      </c>
      <c r="C27" s="112" t="n">
        <v>0</v>
      </c>
      <c r="D27" s="112" t="n">
        <v>0</v>
      </c>
      <c r="E27" s="112" t="n">
        <v>0</v>
      </c>
      <c r="F27" s="112" t="n">
        <v>0</v>
      </c>
      <c r="G27" s="112" t="n">
        <v>0</v>
      </c>
      <c r="H27" s="112" t="n">
        <v>0</v>
      </c>
      <c r="I27" s="112" t="n">
        <v>0</v>
      </c>
      <c r="J27" s="112" t="n">
        <v>0</v>
      </c>
      <c r="K27" s="112" t="n">
        <v>0</v>
      </c>
      <c r="L27" s="112" t="n">
        <v>0</v>
      </c>
      <c r="M27" s="112" t="n">
        <v>0</v>
      </c>
      <c r="N27" s="112" t="n">
        <v>0</v>
      </c>
      <c r="O27" s="112" t="n">
        <v>0</v>
      </c>
      <c r="P27" s="113" t="n">
        <v>83</v>
      </c>
      <c r="Q27" s="114" t="n">
        <v>90</v>
      </c>
      <c r="R27" s="115" t="n">
        <v>93.7</v>
      </c>
    </row>
    <row r="28" customFormat="false" ht="12.75" hidden="false" customHeight="false" outlineLevel="0" collapsed="false">
      <c r="A28" s="56"/>
      <c r="B28" s="111" t="s">
        <v>179</v>
      </c>
      <c r="C28" s="112" t="n">
        <v>0</v>
      </c>
      <c r="D28" s="112" t="n">
        <v>0</v>
      </c>
      <c r="E28" s="112" t="n">
        <v>0</v>
      </c>
      <c r="F28" s="112" t="n">
        <v>0</v>
      </c>
      <c r="G28" s="112" t="n">
        <v>0</v>
      </c>
      <c r="H28" s="112" t="n">
        <v>0</v>
      </c>
      <c r="I28" s="112" t="n">
        <v>0</v>
      </c>
      <c r="J28" s="112" t="n">
        <v>0</v>
      </c>
      <c r="K28" s="112" t="n">
        <v>0</v>
      </c>
      <c r="L28" s="112" t="n">
        <v>0</v>
      </c>
      <c r="M28" s="112" t="n">
        <v>0</v>
      </c>
      <c r="N28" s="112" t="n">
        <v>0</v>
      </c>
      <c r="O28" s="112" t="n">
        <v>0</v>
      </c>
      <c r="P28" s="113" t="n">
        <v>94</v>
      </c>
      <c r="Q28" s="114" t="n">
        <v>90.4</v>
      </c>
      <c r="R28" s="115" t="n">
        <v>93.9</v>
      </c>
    </row>
    <row r="29" customFormat="false" ht="12.75" hidden="false" customHeight="false" outlineLevel="0" collapsed="false">
      <c r="A29" s="116"/>
      <c r="B29" s="111" t="s">
        <v>180</v>
      </c>
      <c r="C29" s="112" t="n">
        <v>0</v>
      </c>
      <c r="D29" s="112" t="n">
        <v>0</v>
      </c>
      <c r="E29" s="112" t="n">
        <v>0</v>
      </c>
      <c r="F29" s="112" t="n">
        <v>0</v>
      </c>
      <c r="G29" s="112" t="n">
        <v>0</v>
      </c>
      <c r="H29" s="112" t="n">
        <v>0</v>
      </c>
      <c r="I29" s="112" t="n">
        <v>0</v>
      </c>
      <c r="J29" s="112" t="n">
        <v>0</v>
      </c>
      <c r="K29" s="112" t="n">
        <v>0</v>
      </c>
      <c r="L29" s="112" t="n">
        <v>0</v>
      </c>
      <c r="M29" s="112" t="n">
        <v>0</v>
      </c>
      <c r="N29" s="112" t="n">
        <v>0</v>
      </c>
      <c r="O29" s="112" t="n">
        <v>0</v>
      </c>
      <c r="P29" s="113" t="n">
        <v>102</v>
      </c>
      <c r="Q29" s="114" t="n">
        <v>90</v>
      </c>
      <c r="R29" s="115" t="n">
        <v>93.9</v>
      </c>
    </row>
    <row r="30" customFormat="false" ht="12.75" hidden="false" customHeight="false" outlineLevel="0" collapsed="false">
      <c r="A30" s="116"/>
      <c r="B30" s="111" t="s">
        <v>181</v>
      </c>
      <c r="C30" s="112" t="n">
        <v>0</v>
      </c>
      <c r="D30" s="112" t="n">
        <v>0</v>
      </c>
      <c r="E30" s="112" t="n">
        <v>0</v>
      </c>
      <c r="F30" s="112" t="n">
        <v>0</v>
      </c>
      <c r="G30" s="112" t="n">
        <v>0</v>
      </c>
      <c r="H30" s="112" t="n">
        <v>0</v>
      </c>
      <c r="I30" s="112" t="n">
        <v>0</v>
      </c>
      <c r="J30" s="112" t="n">
        <v>0</v>
      </c>
      <c r="K30" s="112" t="n">
        <v>0</v>
      </c>
      <c r="L30" s="112" t="n">
        <v>0</v>
      </c>
      <c r="M30" s="112" t="n">
        <v>0</v>
      </c>
      <c r="N30" s="112" t="n">
        <v>0</v>
      </c>
      <c r="O30" s="112" t="n">
        <v>0</v>
      </c>
      <c r="P30" s="113" t="n">
        <v>102</v>
      </c>
      <c r="Q30" s="114" t="n">
        <v>90.5</v>
      </c>
      <c r="R30" s="115" t="n">
        <v>94.6</v>
      </c>
    </row>
    <row r="31" customFormat="false" ht="12.75" hidden="false" customHeight="false" outlineLevel="0" collapsed="false">
      <c r="A31" s="56"/>
      <c r="B31" s="111" t="s">
        <v>182</v>
      </c>
      <c r="C31" s="112" t="n">
        <v>0</v>
      </c>
      <c r="D31" s="112" t="n">
        <v>0</v>
      </c>
      <c r="E31" s="112" t="n">
        <v>0</v>
      </c>
      <c r="F31" s="112" t="n">
        <v>0</v>
      </c>
      <c r="G31" s="112" t="n">
        <v>0</v>
      </c>
      <c r="H31" s="112" t="n">
        <v>0</v>
      </c>
      <c r="I31" s="112" t="n">
        <v>0</v>
      </c>
      <c r="J31" s="112" t="n">
        <v>0</v>
      </c>
      <c r="K31" s="112" t="n">
        <v>0</v>
      </c>
      <c r="L31" s="112" t="n">
        <v>0</v>
      </c>
      <c r="M31" s="112" t="n">
        <v>0</v>
      </c>
      <c r="N31" s="112" t="n">
        <v>0</v>
      </c>
      <c r="O31" s="112" t="n">
        <v>0</v>
      </c>
      <c r="P31" s="113" t="n">
        <v>95</v>
      </c>
      <c r="Q31" s="114" t="n">
        <v>91.3</v>
      </c>
      <c r="R31" s="115" t="n">
        <v>95.2</v>
      </c>
    </row>
    <row r="32" customFormat="false" ht="12.75" hidden="false" customHeight="false" outlineLevel="0" collapsed="false">
      <c r="A32" s="56"/>
      <c r="B32" s="111" t="s">
        <v>183</v>
      </c>
      <c r="C32" s="112" t="n">
        <v>0</v>
      </c>
      <c r="D32" s="112" t="n">
        <v>0</v>
      </c>
      <c r="E32" s="112" t="n">
        <v>0</v>
      </c>
      <c r="F32" s="112" t="n">
        <v>0</v>
      </c>
      <c r="G32" s="112" t="n">
        <v>0</v>
      </c>
      <c r="H32" s="112" t="n">
        <v>0</v>
      </c>
      <c r="I32" s="112" t="n">
        <v>0</v>
      </c>
      <c r="J32" s="112" t="n">
        <v>0</v>
      </c>
      <c r="K32" s="112" t="n">
        <v>0</v>
      </c>
      <c r="L32" s="112" t="n">
        <v>0</v>
      </c>
      <c r="M32" s="112" t="n">
        <v>0</v>
      </c>
      <c r="N32" s="112" t="n">
        <v>0</v>
      </c>
      <c r="O32" s="112" t="n">
        <v>0</v>
      </c>
      <c r="P32" s="113" t="n">
        <v>70</v>
      </c>
      <c r="Q32" s="114" t="n">
        <v>91</v>
      </c>
      <c r="R32" s="115" t="n">
        <v>94.7</v>
      </c>
    </row>
    <row r="33" customFormat="false" ht="12.75" hidden="false" customHeight="false" outlineLevel="0" collapsed="false">
      <c r="A33" s="56"/>
      <c r="B33" s="111" t="s">
        <v>184</v>
      </c>
      <c r="C33" s="112" t="n">
        <v>0</v>
      </c>
      <c r="D33" s="112" t="n">
        <v>0</v>
      </c>
      <c r="E33" s="112" t="n">
        <v>0</v>
      </c>
      <c r="F33" s="112" t="n">
        <v>0</v>
      </c>
      <c r="G33" s="112" t="n">
        <v>0</v>
      </c>
      <c r="H33" s="112" t="n">
        <v>0</v>
      </c>
      <c r="I33" s="112" t="n">
        <v>0</v>
      </c>
      <c r="J33" s="112" t="n">
        <v>0</v>
      </c>
      <c r="K33" s="112" t="n">
        <v>0</v>
      </c>
      <c r="L33" s="112" t="n">
        <v>0</v>
      </c>
      <c r="M33" s="112" t="n">
        <v>0</v>
      </c>
      <c r="N33" s="112" t="n">
        <v>0</v>
      </c>
      <c r="O33" s="112" t="n">
        <v>0</v>
      </c>
      <c r="P33" s="113" t="n">
        <v>43</v>
      </c>
      <c r="Q33" s="114" t="n">
        <v>91.5</v>
      </c>
      <c r="R33" s="115" t="n">
        <v>95.2</v>
      </c>
    </row>
    <row r="34" customFormat="false" ht="12.75" hidden="false" customHeight="false" outlineLevel="0" collapsed="false">
      <c r="A34" s="56"/>
      <c r="B34" s="111" t="s">
        <v>185</v>
      </c>
      <c r="C34" s="112" t="n">
        <v>0</v>
      </c>
      <c r="D34" s="112" t="n">
        <v>0</v>
      </c>
      <c r="E34" s="112" t="n">
        <v>0</v>
      </c>
      <c r="F34" s="112" t="n">
        <v>0</v>
      </c>
      <c r="G34" s="112" t="n">
        <v>0</v>
      </c>
      <c r="H34" s="112" t="n">
        <v>0</v>
      </c>
      <c r="I34" s="112" t="n">
        <v>0</v>
      </c>
      <c r="J34" s="112" t="n">
        <v>0</v>
      </c>
      <c r="K34" s="112" t="n">
        <v>0</v>
      </c>
      <c r="L34" s="112" t="n">
        <v>0</v>
      </c>
      <c r="M34" s="112" t="n">
        <v>0</v>
      </c>
      <c r="N34" s="112" t="n">
        <v>0</v>
      </c>
      <c r="O34" s="112" t="n">
        <v>0</v>
      </c>
      <c r="P34" s="113" t="n">
        <v>38</v>
      </c>
      <c r="Q34" s="114" t="n">
        <v>90.3</v>
      </c>
      <c r="R34" s="115" t="n">
        <v>93.7</v>
      </c>
    </row>
    <row r="35" customFormat="false" ht="12.75" hidden="false" customHeight="false" outlineLevel="0" collapsed="false">
      <c r="A35" s="56"/>
      <c r="B35" s="111" t="s">
        <v>186</v>
      </c>
      <c r="C35" s="112" t="n">
        <v>0</v>
      </c>
      <c r="D35" s="112" t="n">
        <v>0</v>
      </c>
      <c r="E35" s="112" t="n">
        <v>0</v>
      </c>
      <c r="F35" s="112" t="n">
        <v>0</v>
      </c>
      <c r="G35" s="112" t="n">
        <v>0</v>
      </c>
      <c r="H35" s="112" t="n">
        <v>0</v>
      </c>
      <c r="I35" s="112" t="n">
        <v>0</v>
      </c>
      <c r="J35" s="112" t="n">
        <v>0</v>
      </c>
      <c r="K35" s="112" t="n">
        <v>0</v>
      </c>
      <c r="L35" s="112" t="n">
        <v>0</v>
      </c>
      <c r="M35" s="112" t="n">
        <v>0</v>
      </c>
      <c r="N35" s="112" t="n">
        <v>0</v>
      </c>
      <c r="O35" s="112" t="n">
        <v>0</v>
      </c>
      <c r="P35" s="113" t="n">
        <v>33</v>
      </c>
      <c r="Q35" s="114" t="n">
        <v>89.6</v>
      </c>
      <c r="R35" s="115" t="n">
        <v>93.5</v>
      </c>
    </row>
    <row r="36" customFormat="false" ht="12.75" hidden="false" customHeight="false" outlineLevel="0" collapsed="false">
      <c r="A36" s="56"/>
      <c r="B36" s="111" t="s">
        <v>187</v>
      </c>
      <c r="C36" s="112" t="n">
        <v>0</v>
      </c>
      <c r="D36" s="112" t="n">
        <v>0</v>
      </c>
      <c r="E36" s="112" t="n">
        <v>0</v>
      </c>
      <c r="F36" s="112" t="n">
        <v>0</v>
      </c>
      <c r="G36" s="112" t="n">
        <v>0</v>
      </c>
      <c r="H36" s="112" t="n">
        <v>0</v>
      </c>
      <c r="I36" s="112" t="n">
        <v>0</v>
      </c>
      <c r="J36" s="112" t="n">
        <v>0</v>
      </c>
      <c r="K36" s="112" t="n">
        <v>0</v>
      </c>
      <c r="L36" s="112" t="n">
        <v>0</v>
      </c>
      <c r="M36" s="112" t="n">
        <v>0</v>
      </c>
      <c r="N36" s="112" t="n">
        <v>0</v>
      </c>
      <c r="O36" s="112" t="n">
        <v>0</v>
      </c>
      <c r="P36" s="113" t="n">
        <v>21</v>
      </c>
      <c r="Q36" s="114" t="n">
        <v>89.5</v>
      </c>
      <c r="R36" s="115" t="n">
        <v>93.2</v>
      </c>
    </row>
    <row r="37" customFormat="false" ht="12.75" hidden="false" customHeight="true" outlineLevel="0" collapsed="false">
      <c r="A37" s="56"/>
      <c r="B37" s="111" t="s">
        <v>188</v>
      </c>
      <c r="C37" s="112" t="n">
        <v>0</v>
      </c>
      <c r="D37" s="112" t="n">
        <v>0</v>
      </c>
      <c r="E37" s="112" t="n">
        <v>0</v>
      </c>
      <c r="F37" s="112" t="n">
        <v>0</v>
      </c>
      <c r="G37" s="112" t="n">
        <v>0</v>
      </c>
      <c r="H37" s="112" t="n">
        <v>0</v>
      </c>
      <c r="I37" s="112" t="n">
        <v>0</v>
      </c>
      <c r="J37" s="112" t="n">
        <v>0</v>
      </c>
      <c r="K37" s="112" t="n">
        <v>0</v>
      </c>
      <c r="L37" s="112" t="n">
        <v>0</v>
      </c>
      <c r="M37" s="112" t="n">
        <v>0</v>
      </c>
      <c r="N37" s="112" t="n">
        <v>0</v>
      </c>
      <c r="O37" s="112" t="n">
        <v>0</v>
      </c>
      <c r="P37" s="113" t="n">
        <v>15</v>
      </c>
      <c r="Q37" s="114" t="n">
        <v>90.7</v>
      </c>
      <c r="R37" s="115" t="n">
        <v>94.1</v>
      </c>
    </row>
    <row r="38" customFormat="false" ht="12.75" hidden="false" customHeight="true" outlineLevel="0" collapsed="false">
      <c r="A38" s="56"/>
      <c r="B38" s="125" t="s">
        <v>189</v>
      </c>
      <c r="C38" s="126" t="n">
        <v>954</v>
      </c>
      <c r="D38" s="126" t="n">
        <v>67</v>
      </c>
      <c r="E38" s="126" t="n">
        <v>55</v>
      </c>
      <c r="F38" s="126" t="n">
        <v>15</v>
      </c>
      <c r="G38" s="126" t="n">
        <v>2</v>
      </c>
      <c r="H38" s="126" t="n">
        <v>3</v>
      </c>
      <c r="I38" s="126" t="n">
        <v>5</v>
      </c>
      <c r="J38" s="126" t="n">
        <v>11</v>
      </c>
      <c r="K38" s="126" t="n">
        <v>58</v>
      </c>
      <c r="L38" s="126" t="n">
        <v>106</v>
      </c>
      <c r="M38" s="126" t="n">
        <v>0</v>
      </c>
      <c r="N38" s="126" t="n">
        <v>0</v>
      </c>
      <c r="O38" s="126" t="n">
        <v>0</v>
      </c>
      <c r="P38" s="113" t="n">
        <v>1276</v>
      </c>
      <c r="Q38" s="127" t="n">
        <v>90.3</v>
      </c>
      <c r="R38" s="128" t="n">
        <v>94.2</v>
      </c>
    </row>
    <row r="39" customFormat="false" ht="12.75" hidden="false" customHeight="false" outlineLevel="0" collapsed="false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80"/>
      <c r="R39" s="80"/>
    </row>
    <row r="40" customFormat="false" ht="12.75" hidden="false" customHeight="true" outlineLevel="0" collapsed="false">
      <c r="A40" s="56"/>
      <c r="B40" s="129" t="s">
        <v>190</v>
      </c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56"/>
      <c r="R40" s="56"/>
    </row>
    <row r="41" s="130" customFormat="true" ht="12.75" hidden="false" customHeight="false" outlineLevel="0" collapsed="false">
      <c r="A41" s="56"/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</row>
    <row r="42" customFormat="false" ht="12.75" hidden="false" customHeight="true" outlineLevel="0" collapsed="false">
      <c r="A42" s="56"/>
      <c r="B42" s="111" t="s">
        <v>191</v>
      </c>
      <c r="C42" s="112" t="n">
        <v>115</v>
      </c>
      <c r="D42" s="112" t="n">
        <v>14</v>
      </c>
      <c r="E42" s="112" t="n">
        <v>12</v>
      </c>
      <c r="F42" s="112" t="n">
        <v>2</v>
      </c>
      <c r="G42" s="112" t="n">
        <v>0</v>
      </c>
      <c r="H42" s="112" t="n">
        <v>1</v>
      </c>
      <c r="I42" s="112" t="n">
        <v>1</v>
      </c>
      <c r="J42" s="112" t="n">
        <v>1</v>
      </c>
      <c r="K42" s="112" t="n">
        <v>5</v>
      </c>
      <c r="L42" s="112" t="n">
        <v>8</v>
      </c>
      <c r="M42" s="112" t="n">
        <v>0</v>
      </c>
      <c r="N42" s="112" t="n">
        <v>0</v>
      </c>
      <c r="O42" s="131" t="n">
        <v>0</v>
      </c>
      <c r="P42" s="113" t="n">
        <v>158</v>
      </c>
      <c r="Q42" s="114" t="n">
        <v>90.5</v>
      </c>
      <c r="R42" s="115" t="n">
        <v>94.2</v>
      </c>
    </row>
    <row r="43" customFormat="false" ht="12.75" hidden="false" customHeight="true" outlineLevel="0" collapsed="false">
      <c r="A43" s="56"/>
      <c r="B43" s="111" t="s">
        <v>192</v>
      </c>
      <c r="C43" s="112" t="n">
        <v>167</v>
      </c>
      <c r="D43" s="112" t="n">
        <v>8</v>
      </c>
      <c r="E43" s="112" t="n">
        <v>3</v>
      </c>
      <c r="F43" s="112" t="n">
        <v>1</v>
      </c>
      <c r="G43" s="112" t="n">
        <v>1</v>
      </c>
      <c r="H43" s="112" t="n">
        <v>0</v>
      </c>
      <c r="I43" s="112" t="n">
        <v>0</v>
      </c>
      <c r="J43" s="112" t="n">
        <v>1</v>
      </c>
      <c r="K43" s="112" t="n">
        <v>6</v>
      </c>
      <c r="L43" s="112" t="n">
        <v>10</v>
      </c>
      <c r="M43" s="112" t="n">
        <v>0</v>
      </c>
      <c r="N43" s="112" t="n">
        <v>0</v>
      </c>
      <c r="O43" s="131" t="n">
        <v>0</v>
      </c>
      <c r="P43" s="113" t="n">
        <v>197</v>
      </c>
      <c r="Q43" s="114" t="n">
        <v>90.9</v>
      </c>
      <c r="R43" s="115" t="n">
        <v>94.8</v>
      </c>
    </row>
    <row r="44" customFormat="false" ht="12.75" hidden="false" customHeight="true" outlineLevel="0" collapsed="false">
      <c r="A44" s="56"/>
      <c r="B44" s="111" t="s">
        <v>193</v>
      </c>
      <c r="C44" s="112" t="n">
        <v>672</v>
      </c>
      <c r="D44" s="112" t="n">
        <v>45</v>
      </c>
      <c r="E44" s="112" t="n">
        <v>40</v>
      </c>
      <c r="F44" s="112" t="n">
        <v>12</v>
      </c>
      <c r="G44" s="112" t="n">
        <v>1</v>
      </c>
      <c r="H44" s="112" t="n">
        <v>2</v>
      </c>
      <c r="I44" s="112" t="n">
        <v>4</v>
      </c>
      <c r="J44" s="112" t="n">
        <v>9</v>
      </c>
      <c r="K44" s="112" t="n">
        <v>48</v>
      </c>
      <c r="L44" s="112" t="n">
        <v>88</v>
      </c>
      <c r="M44" s="112" t="n">
        <v>0</v>
      </c>
      <c r="N44" s="112" t="n">
        <v>0</v>
      </c>
      <c r="O44" s="131" t="n">
        <v>0</v>
      </c>
      <c r="P44" s="113" t="n">
        <v>921</v>
      </c>
      <c r="Q44" s="114"/>
      <c r="R44" s="132"/>
    </row>
    <row r="45" customFormat="false" ht="12.75" hidden="true" customHeight="true" outlineLevel="0" collapsed="false"/>
    <row r="58" customFormat="false" ht="13.5" hidden="true" customHeight="true" outlineLevel="0" collapsed="false"/>
    <row r="59" customFormat="false" ht="12.75" hidden="true" customHeight="true" outlineLevel="0" collapsed="false"/>
    <row r="91" customFormat="false" ht="13.5" hidden="true" customHeight="true" outlineLevel="0" collapsed="false"/>
    <row r="92" customFormat="false" ht="12.75" hidden="true" customHeight="true" outlineLevel="0" collapsed="false"/>
    <row r="307" customFormat="false" ht="12.75" hidden="false" customHeight="true" outlineLevel="0" collapsed="false"/>
    <row r="330" customFormat="false" ht="12.75" hidden="false" customHeight="false" outlineLevel="0" collapsed="false"/>
  </sheetData>
  <conditionalFormatting sqref="J8:L8">
    <cfRule type="containsErrors" priority="2" aboveAverage="0" equalAverage="0" bottom="0" percent="0" rank="0" text="" dxfId="0">
      <formula>0</formula>
    </cfRule>
  </conditionalFormatting>
  <conditionalFormatting sqref="J5:L8 Q14:R43 C14:P44">
    <cfRule type="containsErrors" priority="3" aboveAverage="0" equalAverage="0" bottom="0" percent="0" rank="0" text="" dxfId="1">
      <formula>0</formula>
    </cfRule>
  </conditionalFormatting>
  <conditionalFormatting sqref="C279:R282">
    <cfRule type="containsErrors" priority="4" aboveAverage="0" equalAverage="0" bottom="0" percent="0" rank="0" text="" dxfId="2">
      <formula>0</formula>
    </cfRule>
  </conditionalFormatting>
  <conditionalFormatting sqref="Q294:R297 C294:P298">
    <cfRule type="containsErrors" priority="5" aboveAverage="0" equalAverage="0" bottom="0" percent="0" rank="0" text="" dxfId="3">
      <formula>0</formula>
    </cfRule>
  </conditionalFormatting>
  <conditionalFormatting sqref="C304:R307">
    <cfRule type="containsErrors" priority="6" aboveAverage="0" equalAverage="0" bottom="0" percent="0" rank="0" text="" dxfId="4">
      <formula>0</formula>
    </cfRule>
  </conditionalFormatting>
  <conditionalFormatting sqref="C289:R292">
    <cfRule type="containsErrors" priority="7" aboveAverage="0" equalAverage="0" bottom="0" percent="0" rank="0" text="" dxfId="5">
      <formula>0</formula>
    </cfRule>
  </conditionalFormatting>
  <conditionalFormatting sqref="C299:R302">
    <cfRule type="containsErrors" priority="8" aboveAverage="0" equalAverage="0" bottom="0" percent="0" rank="0" text="" dxfId="6">
      <formula>0</formula>
    </cfRule>
  </conditionalFormatting>
  <conditionalFormatting sqref="Q284:R287 C284:P288">
    <cfRule type="containsErrors" priority="9" aboveAverage="0" equalAverage="0" bottom="0" percent="0" rank="0" text="" dxfId="7">
      <formula>0</formula>
    </cfRule>
  </conditionalFormatting>
  <conditionalFormatting sqref="Q274:R277 C274:P278">
    <cfRule type="containsErrors" priority="10" aboveAverage="0" equalAverage="0" bottom="0" percent="0" rank="0" text="" dxfId="8">
      <formula>0</formula>
    </cfRule>
  </conditionalFormatting>
  <conditionalFormatting sqref="C268:R271">
    <cfRule type="containsErrors" priority="11" aboveAverage="0" equalAverage="0" bottom="0" percent="0" rank="0" text="" dxfId="9">
      <formula>0</formula>
    </cfRule>
  </conditionalFormatting>
  <conditionalFormatting sqref="C258:R261">
    <cfRule type="containsErrors" priority="12" aboveAverage="0" equalAverage="0" bottom="0" percent="0" rank="0" text="" dxfId="10">
      <formula>0</formula>
    </cfRule>
  </conditionalFormatting>
  <conditionalFormatting sqref="Q263:R266 C263:P267">
    <cfRule type="containsErrors" priority="13" aboveAverage="0" equalAverage="0" bottom="0" percent="0" rank="0" text="" dxfId="11">
      <formula>0</formula>
    </cfRule>
  </conditionalFormatting>
  <conditionalFormatting sqref="C238:R241">
    <cfRule type="containsErrors" priority="14" aboveAverage="0" equalAverage="0" bottom="0" percent="0" rank="0" text="" dxfId="12">
      <formula>0</formula>
    </cfRule>
  </conditionalFormatting>
  <conditionalFormatting sqref="Q253:R256 C253:P257">
    <cfRule type="containsErrors" priority="15" aboveAverage="0" equalAverage="0" bottom="0" percent="0" rank="0" text="" dxfId="13">
      <formula>0</formula>
    </cfRule>
  </conditionalFormatting>
  <conditionalFormatting sqref="C248:R251">
    <cfRule type="containsErrors" priority="16" aboveAverage="0" equalAverage="0" bottom="0" percent="0" rank="0" text="" dxfId="14">
      <formula>0</formula>
    </cfRule>
  </conditionalFormatting>
  <conditionalFormatting sqref="Q243:R246 C243:P247">
    <cfRule type="containsErrors" priority="17" aboveAverage="0" equalAverage="0" bottom="0" percent="0" rank="0" text="" dxfId="15">
      <formula>0</formula>
    </cfRule>
  </conditionalFormatting>
  <conditionalFormatting sqref="Q233:R236 C233:P237">
    <cfRule type="containsErrors" priority="18" aboveAverage="0" equalAverage="0" bottom="0" percent="0" rank="0" text="" dxfId="16">
      <formula>0</formula>
    </cfRule>
  </conditionalFormatting>
  <conditionalFormatting sqref="C228:R231">
    <cfRule type="containsErrors" priority="19" aboveAverage="0" equalAverage="0" bottom="0" percent="0" rank="0" text="" dxfId="17">
      <formula>0</formula>
    </cfRule>
  </conditionalFormatting>
  <conditionalFormatting sqref="Q223:R226 C223:P227">
    <cfRule type="containsErrors" priority="20" aboveAverage="0" equalAverage="0" bottom="0" percent="0" rank="0" text="" dxfId="18">
      <formula>0</formula>
    </cfRule>
  </conditionalFormatting>
  <conditionalFormatting sqref="C218:R221">
    <cfRule type="containsErrors" priority="21" aboveAverage="0" equalAverage="0" bottom="0" percent="0" rank="0" text="" dxfId="19">
      <formula>0</formula>
    </cfRule>
  </conditionalFormatting>
  <conditionalFormatting sqref="Q213:R216 C213:P217">
    <cfRule type="containsErrors" priority="22" aboveAverage="0" equalAverage="0" bottom="0" percent="0" rank="0" text="" dxfId="20">
      <formula>0</formula>
    </cfRule>
  </conditionalFormatting>
  <conditionalFormatting sqref="C208:R211">
    <cfRule type="containsErrors" priority="23" aboveAverage="0" equalAverage="0" bottom="0" percent="0" rank="0" text="" dxfId="21">
      <formula>0</formula>
    </cfRule>
  </conditionalFormatting>
  <conditionalFormatting sqref="Q202:R205 C202:P207">
    <cfRule type="containsErrors" priority="24" aboveAverage="0" equalAverage="0" bottom="0" percent="0" rank="0" text="" dxfId="22">
      <formula>0</formula>
    </cfRule>
  </conditionalFormatting>
  <conditionalFormatting sqref="Q192:R195 C192:P196">
    <cfRule type="containsErrors" priority="25" aboveAverage="0" equalAverage="0" bottom="0" percent="0" rank="0" text="" dxfId="23">
      <formula>0</formula>
    </cfRule>
  </conditionalFormatting>
  <conditionalFormatting sqref="C197:R200">
    <cfRule type="containsErrors" priority="26" aboveAverage="0" equalAverage="0" bottom="0" percent="0" rank="0" text="" dxfId="24">
      <formula>0</formula>
    </cfRule>
  </conditionalFormatting>
  <conditionalFormatting sqref="Q182:R185 C182:P186">
    <cfRule type="containsErrors" priority="27" aboveAverage="0" equalAverage="0" bottom="0" percent="0" rank="0" text="" dxfId="25">
      <formula>0</formula>
    </cfRule>
  </conditionalFormatting>
  <conditionalFormatting sqref="C187:R190">
    <cfRule type="containsErrors" priority="28" aboveAverage="0" equalAverage="0" bottom="0" percent="0" rank="0" text="" dxfId="26">
      <formula>0</formula>
    </cfRule>
  </conditionalFormatting>
  <conditionalFormatting sqref="Q172:R175 C172:P176">
    <cfRule type="containsErrors" priority="29" aboveAverage="0" equalAverage="0" bottom="0" percent="0" rank="0" text="" dxfId="27">
      <formula>0</formula>
    </cfRule>
  </conditionalFormatting>
  <conditionalFormatting sqref="C177:R180">
    <cfRule type="containsErrors" priority="30" aboveAverage="0" equalAverage="0" bottom="0" percent="0" rank="0" text="" dxfId="28">
      <formula>0</formula>
    </cfRule>
  </conditionalFormatting>
  <conditionalFormatting sqref="C157:R160">
    <cfRule type="containsErrors" priority="31" aboveAverage="0" equalAverage="0" bottom="0" percent="0" rank="0" text="" dxfId="29">
      <formula>0</formula>
    </cfRule>
  </conditionalFormatting>
  <conditionalFormatting sqref="C167:R170">
    <cfRule type="containsErrors" priority="32" aboveAverage="0" equalAverage="0" bottom="0" percent="0" rank="0" text="" dxfId="30">
      <formula>0</formula>
    </cfRule>
  </conditionalFormatting>
  <conditionalFormatting sqref="C147:R150">
    <cfRule type="containsErrors" priority="33" aboveAverage="0" equalAverage="0" bottom="0" percent="0" rank="0" text="" dxfId="31">
      <formula>0</formula>
    </cfRule>
  </conditionalFormatting>
  <conditionalFormatting sqref="Q162:R165 C162:P166">
    <cfRule type="containsErrors" priority="34" aboveAverage="0" equalAverage="0" bottom="0" percent="0" rank="0" text="" dxfId="32">
      <formula>0</formula>
    </cfRule>
  </conditionalFormatting>
  <conditionalFormatting sqref="C137:R140">
    <cfRule type="containsErrors" priority="35" aboveAverage="0" equalAverage="0" bottom="0" percent="0" rank="0" text="" dxfId="33">
      <formula>0</formula>
    </cfRule>
  </conditionalFormatting>
  <conditionalFormatting sqref="Q152:R155 C152:P156">
    <cfRule type="containsErrors" priority="36" aboveAverage="0" equalAverage="0" bottom="0" percent="0" rank="0" text="" dxfId="34">
      <formula>0</formula>
    </cfRule>
  </conditionalFormatting>
  <conditionalFormatting sqref="Q142:R145 C142:P146">
    <cfRule type="containsErrors" priority="37" aboveAverage="0" equalAverage="0" bottom="0" percent="0" rank="0" text="" dxfId="35">
      <formula>0</formula>
    </cfRule>
  </conditionalFormatting>
  <conditionalFormatting sqref="C117:R120">
    <cfRule type="containsErrors" priority="38" aboveAverage="0" equalAverage="0" bottom="0" percent="0" rank="0" text="" dxfId="36">
      <formula>0</formula>
    </cfRule>
  </conditionalFormatting>
  <conditionalFormatting sqref="Q132:R135 C132:P136">
    <cfRule type="containsErrors" priority="39" aboveAverage="0" equalAverage="0" bottom="0" percent="0" rank="0" text="" dxfId="37">
      <formula>0</formula>
    </cfRule>
  </conditionalFormatting>
  <conditionalFormatting sqref="Q112:R115 C112:P116">
    <cfRule type="containsErrors" priority="40" aboveAverage="0" equalAverage="0" bottom="0" percent="0" rank="0" text="" dxfId="38">
      <formula>0</formula>
    </cfRule>
  </conditionalFormatting>
  <conditionalFormatting sqref="C127:R130">
    <cfRule type="containsErrors" priority="41" aboveAverage="0" equalAverage="0" bottom="0" percent="0" rank="0" text="" dxfId="39">
      <formula>0</formula>
    </cfRule>
  </conditionalFormatting>
  <conditionalFormatting sqref="C107:R110">
    <cfRule type="containsErrors" priority="42" aboveAverage="0" equalAverage="0" bottom="0" percent="0" rank="0" text="" dxfId="40">
      <formula>0</formula>
    </cfRule>
  </conditionalFormatting>
  <conditionalFormatting sqref="Q122:R125 C122:P126">
    <cfRule type="containsErrors" priority="43" aboveAverage="0" equalAverage="0" bottom="0" percent="0" rank="0" text="" dxfId="41">
      <formula>0</formula>
    </cfRule>
  </conditionalFormatting>
  <conditionalFormatting sqref="Q102:R105 C102:P106">
    <cfRule type="containsErrors" priority="44" aboveAverage="0" equalAverage="0" bottom="0" percent="0" rank="0" text="" dxfId="42">
      <formula>0</formula>
    </cfRule>
  </conditionalFormatting>
  <conditionalFormatting sqref="C97:R100">
    <cfRule type="containsErrors" priority="45" aboveAverage="0" equalAverage="0" bottom="0" percent="0" rank="0" text="" dxfId="43">
      <formula>0</formula>
    </cfRule>
  </conditionalFormatting>
  <conditionalFormatting sqref="Q92:R95 C92:P96">
    <cfRule type="containsErrors" priority="46" aboveAverage="0" equalAverage="0" bottom="0" percent="0" rank="0" text="" dxfId="44">
      <formula>0</formula>
    </cfRule>
  </conditionalFormatting>
  <conditionalFormatting sqref="C77:R80">
    <cfRule type="containsErrors" priority="47" aboveAverage="0" equalAverage="0" bottom="0" percent="0" rank="0" text="" dxfId="45">
      <formula>0</formula>
    </cfRule>
  </conditionalFormatting>
  <conditionalFormatting sqref="Q82:R85 C82:P86">
    <cfRule type="containsErrors" priority="48" aboveAverage="0" equalAverage="0" bottom="0" percent="0" rank="0" text="" dxfId="46">
      <formula>0</formula>
    </cfRule>
  </conditionalFormatting>
  <conditionalFormatting sqref="C67:R70">
    <cfRule type="containsErrors" priority="49" aboveAverage="0" equalAverage="0" bottom="0" percent="0" rank="0" text="" dxfId="47">
      <formula>0</formula>
    </cfRule>
  </conditionalFormatting>
  <conditionalFormatting sqref="Q72:R75 C72:P76">
    <cfRule type="containsErrors" priority="50" aboveAverage="0" equalAverage="0" bottom="0" percent="0" rank="0" text="" dxfId="48">
      <formula>0</formula>
    </cfRule>
  </conditionalFormatting>
  <conditionalFormatting sqref="C87:R90">
    <cfRule type="containsErrors" priority="51" aboveAverage="0" equalAverage="0" bottom="0" percent="0" rank="0" text="" dxfId="49">
      <formula>0</formula>
    </cfRule>
  </conditionalFormatting>
  <conditionalFormatting sqref="C57:R60">
    <cfRule type="containsErrors" priority="52" aboveAverage="0" equalAverage="0" bottom="0" percent="0" rank="0" text="" dxfId="50">
      <formula>0</formula>
    </cfRule>
  </conditionalFormatting>
  <conditionalFormatting sqref="Q62:R65 C62:P66">
    <cfRule type="containsErrors" priority="53" aboveAverage="0" equalAverage="0" bottom="0" percent="0" rank="0" text="" dxfId="51">
      <formula>0</formula>
    </cfRule>
  </conditionalFormatting>
  <conditionalFormatting sqref="C47:R50">
    <cfRule type="containsErrors" priority="54" aboveAverage="0" equalAverage="0" bottom="0" percent="0" rank="0" text="" dxfId="52">
      <formula>0</formula>
    </cfRule>
  </conditionalFormatting>
  <conditionalFormatting sqref="Q52:R55 C52:P56">
    <cfRule type="containsErrors" priority="55" aboveAverage="0" equalAverage="0" bottom="0" percent="0" rank="0" text="" dxfId="53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R3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75" zeroHeight="true" outlineLevelRow="0" outlineLevelCol="0"/>
  <cols>
    <col collapsed="false" customWidth="true" hidden="false" outlineLevel="0" max="1" min="1" style="54" width="2.71"/>
    <col collapsed="false" customWidth="true" hidden="false" outlineLevel="0" max="2" min="2" style="55" width="12.71"/>
    <col collapsed="false" customWidth="true" hidden="false" outlineLevel="0" max="17" min="3" style="55" width="8.71"/>
    <col collapsed="false" customWidth="true" hidden="false" outlineLevel="0" max="18" min="18" style="55" width="8.86"/>
    <col collapsed="false" customWidth="true" hidden="false" outlineLevel="0" max="98" min="19" style="54" width="9.14"/>
    <col collapsed="false" customWidth="true" hidden="false" outlineLevel="0" max="99" min="99" style="54" width="2.71"/>
    <col collapsed="false" customWidth="true" hidden="false" outlineLevel="0" max="100" min="100" style="54" width="12.71"/>
    <col collapsed="false" customWidth="true" hidden="false" outlineLevel="0" max="116" min="101" style="54" width="6.71"/>
    <col collapsed="false" customWidth="true" hidden="false" outlineLevel="0" max="117" min="117" style="54" width="2.71"/>
    <col collapsed="false" customWidth="true" hidden="true" outlineLevel="0" max="354" min="118" style="54" width="9.14"/>
    <col collapsed="false" customWidth="true" hidden="false" outlineLevel="0" max="355" min="355" style="54" width="2.71"/>
    <col collapsed="false" customWidth="true" hidden="false" outlineLevel="0" max="356" min="356" style="54" width="12.71"/>
    <col collapsed="false" customWidth="true" hidden="false" outlineLevel="0" max="372" min="357" style="54" width="6.71"/>
    <col collapsed="false" customWidth="true" hidden="false" outlineLevel="0" max="373" min="373" style="54" width="2.71"/>
    <col collapsed="false" customWidth="true" hidden="true" outlineLevel="0" max="610" min="374" style="54" width="9.14"/>
    <col collapsed="false" customWidth="true" hidden="false" outlineLevel="0" max="611" min="611" style="54" width="2.71"/>
    <col collapsed="false" customWidth="true" hidden="false" outlineLevel="0" max="612" min="612" style="54" width="12.71"/>
    <col collapsed="false" customWidth="true" hidden="false" outlineLevel="0" max="628" min="613" style="54" width="6.71"/>
    <col collapsed="false" customWidth="true" hidden="false" outlineLevel="0" max="629" min="629" style="54" width="2.71"/>
    <col collapsed="false" customWidth="true" hidden="true" outlineLevel="0" max="866" min="630" style="54" width="9.14"/>
    <col collapsed="false" customWidth="true" hidden="false" outlineLevel="0" max="867" min="867" style="54" width="2.71"/>
    <col collapsed="false" customWidth="true" hidden="false" outlineLevel="0" max="868" min="868" style="54" width="12.71"/>
    <col collapsed="false" customWidth="true" hidden="false" outlineLevel="0" max="884" min="869" style="54" width="6.71"/>
    <col collapsed="false" customWidth="true" hidden="false" outlineLevel="0" max="885" min="885" style="54" width="2.71"/>
    <col collapsed="false" customWidth="true" hidden="true" outlineLevel="0" max="1025" min="886" style="54" width="9.14"/>
  </cols>
  <sheetData>
    <row r="1" customFormat="false" ht="12.75" hidden="false" customHeight="false" outlineLevel="0" collapsed="false">
      <c r="A1" s="5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</row>
    <row r="2" customFormat="false" ht="12.75" hidden="false" customHeight="false" outlineLevel="0" collapsed="false">
      <c r="A2" s="56"/>
      <c r="B2" s="57" t="s">
        <v>139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</row>
    <row r="3" customFormat="false" ht="12.75" hidden="false" customHeight="false" outlineLevel="0" collapsed="false">
      <c r="A3" s="56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</row>
    <row r="4" customFormat="false" ht="15.75" hidden="false" customHeight="false" outlineLevel="0" collapsed="false">
      <c r="A4" s="56"/>
      <c r="B4" s="59" t="s">
        <v>140</v>
      </c>
      <c r="C4" s="60" t="s">
        <v>141</v>
      </c>
      <c r="D4" s="61"/>
      <c r="E4" s="61"/>
      <c r="F4" s="61"/>
      <c r="G4" s="61"/>
      <c r="H4" s="61"/>
      <c r="I4" s="61"/>
      <c r="J4" s="61"/>
      <c r="K4" s="61"/>
      <c r="L4" s="61"/>
      <c r="M4" s="62" t="s">
        <v>142</v>
      </c>
      <c r="N4" s="62"/>
      <c r="O4" s="62"/>
      <c r="P4" s="62" t="s">
        <v>143</v>
      </c>
      <c r="Q4" s="62"/>
      <c r="R4" s="63"/>
    </row>
    <row r="5" customFormat="false" ht="12.75" hidden="false" customHeight="true" outlineLevel="0" collapsed="false">
      <c r="A5" s="56"/>
      <c r="B5" s="64" t="s">
        <v>144</v>
      </c>
      <c r="C5" s="65" t="s">
        <v>145</v>
      </c>
      <c r="D5" s="65"/>
      <c r="E5" s="65"/>
      <c r="F5" s="66"/>
      <c r="G5" s="67" t="s">
        <v>146</v>
      </c>
      <c r="H5" s="68"/>
      <c r="I5" s="68"/>
      <c r="J5" s="69" t="n">
        <v>1265</v>
      </c>
      <c r="K5" s="69"/>
      <c r="L5" s="70"/>
      <c r="M5" s="71"/>
      <c r="N5" s="72"/>
      <c r="O5" s="72"/>
      <c r="P5" s="71"/>
      <c r="Q5" s="72"/>
      <c r="R5" s="73"/>
    </row>
    <row r="6" customFormat="false" ht="19.5" hidden="false" customHeight="true" outlineLevel="0" collapsed="false">
      <c r="A6" s="56"/>
      <c r="B6" s="64"/>
      <c r="C6" s="65"/>
      <c r="D6" s="65"/>
      <c r="E6" s="65"/>
      <c r="F6" s="66"/>
      <c r="G6" s="74" t="s">
        <v>147</v>
      </c>
      <c r="H6" s="75"/>
      <c r="I6" s="75"/>
      <c r="J6" s="76" t="n">
        <v>89.9</v>
      </c>
      <c r="K6" s="76"/>
      <c r="L6" s="77"/>
      <c r="M6" s="71"/>
      <c r="N6" s="72"/>
      <c r="O6" s="72"/>
      <c r="P6" s="71"/>
      <c r="Q6" s="72"/>
      <c r="R6" s="73"/>
    </row>
    <row r="7" customFormat="false" ht="15.75" hidden="false" customHeight="false" outlineLevel="0" collapsed="false">
      <c r="A7" s="56"/>
      <c r="B7" s="78" t="s">
        <v>148</v>
      </c>
      <c r="C7" s="79" t="n">
        <v>95435</v>
      </c>
      <c r="D7" s="80"/>
      <c r="E7" s="80"/>
      <c r="F7" s="80"/>
      <c r="G7" s="74" t="s">
        <v>149</v>
      </c>
      <c r="H7" s="75"/>
      <c r="I7" s="75"/>
      <c r="J7" s="76" t="n">
        <v>94</v>
      </c>
      <c r="K7" s="76"/>
      <c r="L7" s="77"/>
      <c r="M7" s="80"/>
      <c r="N7" s="80"/>
      <c r="O7" s="80"/>
      <c r="P7" s="81" t="s">
        <v>150</v>
      </c>
      <c r="Q7" s="81"/>
      <c r="R7" s="82"/>
    </row>
    <row r="8" customFormat="false" ht="18" hidden="false" customHeight="true" outlineLevel="0" collapsed="false">
      <c r="A8" s="56"/>
      <c r="B8" s="78" t="s">
        <v>151</v>
      </c>
      <c r="C8" s="83" t="s">
        <v>152</v>
      </c>
      <c r="D8" s="83"/>
      <c r="E8" s="84"/>
      <c r="F8" s="80"/>
      <c r="G8" s="85" t="s">
        <v>153</v>
      </c>
      <c r="H8" s="86"/>
      <c r="I8" s="86"/>
      <c r="J8" s="87" t="n">
        <v>0.2147</v>
      </c>
      <c r="K8" s="87"/>
      <c r="L8" s="88"/>
      <c r="M8" s="80"/>
      <c r="N8" s="80"/>
      <c r="O8" s="80"/>
      <c r="P8" s="71"/>
      <c r="Q8" s="89" t="s">
        <v>194</v>
      </c>
      <c r="R8" s="73"/>
    </row>
    <row r="9" customFormat="false" ht="17.25" hidden="false" customHeight="true" outlineLevel="0" collapsed="false">
      <c r="A9" s="56"/>
      <c r="B9" s="90" t="s">
        <v>154</v>
      </c>
      <c r="C9" s="91" t="s">
        <v>155</v>
      </c>
      <c r="D9" s="91"/>
      <c r="E9" s="92"/>
      <c r="F9" s="92"/>
      <c r="G9" s="92"/>
      <c r="H9" s="92"/>
      <c r="I9" s="92"/>
      <c r="J9" s="92"/>
      <c r="K9" s="93"/>
      <c r="L9" s="91"/>
      <c r="M9" s="91"/>
      <c r="N9" s="94"/>
      <c r="O9" s="94"/>
      <c r="P9" s="94"/>
      <c r="Q9" s="95"/>
      <c r="R9" s="96"/>
    </row>
    <row r="10" customFormat="false" ht="12.75" hidden="false" customHeight="false" outlineLevel="0" collapsed="false">
      <c r="A10" s="56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</row>
    <row r="11" customFormat="false" ht="25.5" hidden="false" customHeight="true" outlineLevel="0" collapsed="false">
      <c r="A11" s="56"/>
      <c r="B11" s="97" t="s">
        <v>157</v>
      </c>
      <c r="C11" s="98" t="s">
        <v>158</v>
      </c>
      <c r="D11" s="99"/>
      <c r="E11" s="99"/>
      <c r="F11" s="99"/>
      <c r="G11" s="99"/>
      <c r="H11" s="99"/>
      <c r="I11" s="99"/>
      <c r="J11" s="100" t="s">
        <v>159</v>
      </c>
      <c r="K11" s="100"/>
      <c r="L11" s="100"/>
      <c r="M11" s="100"/>
      <c r="N11" s="100"/>
      <c r="O11" s="100"/>
      <c r="P11" s="100"/>
      <c r="Q11" s="100"/>
      <c r="R11" s="101"/>
    </row>
    <row r="12" customFormat="false" ht="12.75" hidden="false" customHeight="true" outlineLevel="0" collapsed="false">
      <c r="A12" s="56"/>
      <c r="B12" s="102"/>
      <c r="C12" s="103" t="n">
        <v>1</v>
      </c>
      <c r="D12" s="103" t="n">
        <v>2</v>
      </c>
      <c r="E12" s="103" t="n">
        <v>3</v>
      </c>
      <c r="F12" s="103" t="n">
        <v>4</v>
      </c>
      <c r="G12" s="103" t="n">
        <v>5</v>
      </c>
      <c r="H12" s="103" t="n">
        <v>6</v>
      </c>
      <c r="I12" s="103" t="n">
        <v>7</v>
      </c>
      <c r="J12" s="103" t="n">
        <v>8</v>
      </c>
      <c r="K12" s="103" t="n">
        <v>9</v>
      </c>
      <c r="L12" s="103" t="n">
        <v>10</v>
      </c>
      <c r="M12" s="103" t="n">
        <v>11</v>
      </c>
      <c r="N12" s="103" t="n">
        <v>12</v>
      </c>
      <c r="O12" s="103" t="n">
        <v>13</v>
      </c>
      <c r="P12" s="104" t="s">
        <v>160</v>
      </c>
      <c r="Q12" s="105" t="s">
        <v>161</v>
      </c>
      <c r="R12" s="106"/>
    </row>
    <row r="13" customFormat="false" ht="12.75" hidden="false" customHeight="true" outlineLevel="0" collapsed="false">
      <c r="A13" s="56"/>
      <c r="B13" s="107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9"/>
      <c r="Q13" s="106" t="s">
        <v>162</v>
      </c>
      <c r="R13" s="110" t="s">
        <v>163</v>
      </c>
    </row>
    <row r="14" customFormat="false" ht="12.75" hidden="false" customHeight="false" outlineLevel="0" collapsed="false">
      <c r="A14" s="56"/>
      <c r="B14" s="111" t="s">
        <v>164</v>
      </c>
      <c r="C14" s="112" t="n">
        <v>0</v>
      </c>
      <c r="D14" s="112" t="n">
        <v>0</v>
      </c>
      <c r="E14" s="112" t="n">
        <v>0</v>
      </c>
      <c r="F14" s="112" t="n">
        <v>0</v>
      </c>
      <c r="G14" s="112" t="n">
        <v>0</v>
      </c>
      <c r="H14" s="112" t="n">
        <v>0</v>
      </c>
      <c r="I14" s="112" t="n">
        <v>0</v>
      </c>
      <c r="J14" s="112" t="n">
        <v>0</v>
      </c>
      <c r="K14" s="112" t="n">
        <v>0</v>
      </c>
      <c r="L14" s="112" t="n">
        <v>0</v>
      </c>
      <c r="M14" s="112" t="n">
        <v>0</v>
      </c>
      <c r="N14" s="112" t="n">
        <v>0</v>
      </c>
      <c r="O14" s="112" t="n">
        <v>0</v>
      </c>
      <c r="P14" s="113" t="n">
        <v>8</v>
      </c>
      <c r="Q14" s="114" t="n">
        <v>90.4</v>
      </c>
      <c r="R14" s="115" t="s">
        <v>165</v>
      </c>
    </row>
    <row r="15" customFormat="false" ht="12.75" hidden="false" customHeight="false" outlineLevel="0" collapsed="false">
      <c r="A15" s="56"/>
      <c r="B15" s="111" t="s">
        <v>166</v>
      </c>
      <c r="C15" s="112" t="n">
        <v>0</v>
      </c>
      <c r="D15" s="112" t="n">
        <v>0</v>
      </c>
      <c r="E15" s="112" t="n">
        <v>0</v>
      </c>
      <c r="F15" s="112" t="n">
        <v>0</v>
      </c>
      <c r="G15" s="112" t="n">
        <v>0</v>
      </c>
      <c r="H15" s="112" t="n">
        <v>0</v>
      </c>
      <c r="I15" s="112" t="n">
        <v>0</v>
      </c>
      <c r="J15" s="112" t="n">
        <v>0</v>
      </c>
      <c r="K15" s="112" t="n">
        <v>0</v>
      </c>
      <c r="L15" s="112" t="n">
        <v>0</v>
      </c>
      <c r="M15" s="112" t="n">
        <v>0</v>
      </c>
      <c r="N15" s="112" t="n">
        <v>0</v>
      </c>
      <c r="O15" s="112" t="n">
        <v>0</v>
      </c>
      <c r="P15" s="113" t="n">
        <v>6</v>
      </c>
      <c r="Q15" s="114" t="n">
        <v>89.8</v>
      </c>
      <c r="R15" s="115" t="s">
        <v>165</v>
      </c>
    </row>
    <row r="16" customFormat="false" ht="12.75" hidden="false" customHeight="false" outlineLevel="0" collapsed="false">
      <c r="A16" s="56"/>
      <c r="B16" s="111" t="s">
        <v>167</v>
      </c>
      <c r="C16" s="112" t="n">
        <v>0</v>
      </c>
      <c r="D16" s="112" t="n">
        <v>0</v>
      </c>
      <c r="E16" s="112" t="n">
        <v>0</v>
      </c>
      <c r="F16" s="112" t="n">
        <v>0</v>
      </c>
      <c r="G16" s="112" t="n">
        <v>0</v>
      </c>
      <c r="H16" s="112" t="n">
        <v>0</v>
      </c>
      <c r="I16" s="112" t="n">
        <v>0</v>
      </c>
      <c r="J16" s="112" t="n">
        <v>0</v>
      </c>
      <c r="K16" s="112" t="n">
        <v>0</v>
      </c>
      <c r="L16" s="112" t="n">
        <v>0</v>
      </c>
      <c r="M16" s="112" t="n">
        <v>0</v>
      </c>
      <c r="N16" s="112" t="n">
        <v>0</v>
      </c>
      <c r="O16" s="112" t="n">
        <v>0</v>
      </c>
      <c r="P16" s="113" t="n">
        <v>5</v>
      </c>
      <c r="Q16" s="114" t="n">
        <v>90.2</v>
      </c>
      <c r="R16" s="115" t="s">
        <v>165</v>
      </c>
    </row>
    <row r="17" customFormat="false" ht="12.75" hidden="false" customHeight="false" outlineLevel="0" collapsed="false">
      <c r="A17" s="56"/>
      <c r="B17" s="111" t="s">
        <v>168</v>
      </c>
      <c r="C17" s="112" t="n">
        <v>0</v>
      </c>
      <c r="D17" s="112" t="n">
        <v>0</v>
      </c>
      <c r="E17" s="112" t="n">
        <v>0</v>
      </c>
      <c r="F17" s="112" t="n">
        <v>0</v>
      </c>
      <c r="G17" s="112" t="n">
        <v>0</v>
      </c>
      <c r="H17" s="112" t="n">
        <v>0</v>
      </c>
      <c r="I17" s="112" t="n">
        <v>0</v>
      </c>
      <c r="J17" s="112" t="n">
        <v>0</v>
      </c>
      <c r="K17" s="112" t="n">
        <v>0</v>
      </c>
      <c r="L17" s="112" t="n">
        <v>0</v>
      </c>
      <c r="M17" s="112" t="n">
        <v>0</v>
      </c>
      <c r="N17" s="112" t="n">
        <v>0</v>
      </c>
      <c r="O17" s="112" t="n">
        <v>0</v>
      </c>
      <c r="P17" s="113" t="n">
        <v>6</v>
      </c>
      <c r="Q17" s="114" t="n">
        <v>90.8</v>
      </c>
      <c r="R17" s="115" t="s">
        <v>165</v>
      </c>
    </row>
    <row r="18" customFormat="false" ht="12.75" hidden="false" customHeight="false" outlineLevel="0" collapsed="false">
      <c r="A18" s="56"/>
      <c r="B18" s="111" t="s">
        <v>169</v>
      </c>
      <c r="C18" s="112" t="n">
        <v>0</v>
      </c>
      <c r="D18" s="112" t="n">
        <v>0</v>
      </c>
      <c r="E18" s="112" t="n">
        <v>0</v>
      </c>
      <c r="F18" s="112" t="n">
        <v>0</v>
      </c>
      <c r="G18" s="112" t="n">
        <v>0</v>
      </c>
      <c r="H18" s="112" t="n">
        <v>0</v>
      </c>
      <c r="I18" s="112" t="n">
        <v>0</v>
      </c>
      <c r="J18" s="112" t="n">
        <v>0</v>
      </c>
      <c r="K18" s="112" t="n">
        <v>0</v>
      </c>
      <c r="L18" s="112" t="n">
        <v>0</v>
      </c>
      <c r="M18" s="112" t="n">
        <v>0</v>
      </c>
      <c r="N18" s="112" t="n">
        <v>0</v>
      </c>
      <c r="O18" s="112" t="n">
        <v>0</v>
      </c>
      <c r="P18" s="113" t="n">
        <v>10</v>
      </c>
      <c r="Q18" s="114" t="n">
        <v>91.1</v>
      </c>
      <c r="R18" s="115" t="s">
        <v>165</v>
      </c>
    </row>
    <row r="19" customFormat="false" ht="12.75" hidden="false" customHeight="false" outlineLevel="0" collapsed="false">
      <c r="A19" s="56"/>
      <c r="B19" s="111" t="s">
        <v>170</v>
      </c>
      <c r="C19" s="112" t="n">
        <v>0</v>
      </c>
      <c r="D19" s="112" t="n">
        <v>0</v>
      </c>
      <c r="E19" s="112" t="n">
        <v>0</v>
      </c>
      <c r="F19" s="112" t="n">
        <v>0</v>
      </c>
      <c r="G19" s="112" t="n">
        <v>0</v>
      </c>
      <c r="H19" s="112" t="n">
        <v>0</v>
      </c>
      <c r="I19" s="112" t="n">
        <v>0</v>
      </c>
      <c r="J19" s="112" t="n">
        <v>0</v>
      </c>
      <c r="K19" s="112" t="n">
        <v>0</v>
      </c>
      <c r="L19" s="112" t="n">
        <v>0</v>
      </c>
      <c r="M19" s="112" t="n">
        <v>0</v>
      </c>
      <c r="N19" s="112" t="n">
        <v>0</v>
      </c>
      <c r="O19" s="112" t="n">
        <v>0</v>
      </c>
      <c r="P19" s="113" t="n">
        <v>20</v>
      </c>
      <c r="Q19" s="114" t="n">
        <v>90.2</v>
      </c>
      <c r="R19" s="115" t="n">
        <v>95.2</v>
      </c>
    </row>
    <row r="20" customFormat="false" ht="12.75" hidden="false" customHeight="false" outlineLevel="0" collapsed="false">
      <c r="A20" s="56"/>
      <c r="B20" s="111" t="s">
        <v>171</v>
      </c>
      <c r="C20" s="112" t="n">
        <v>0</v>
      </c>
      <c r="D20" s="112" t="n">
        <v>0</v>
      </c>
      <c r="E20" s="112" t="n">
        <v>0</v>
      </c>
      <c r="F20" s="112" t="n">
        <v>0</v>
      </c>
      <c r="G20" s="112" t="n">
        <v>0</v>
      </c>
      <c r="H20" s="112" t="n">
        <v>0</v>
      </c>
      <c r="I20" s="112" t="n">
        <v>0</v>
      </c>
      <c r="J20" s="112" t="n">
        <v>0</v>
      </c>
      <c r="K20" s="112" t="n">
        <v>0</v>
      </c>
      <c r="L20" s="112" t="n">
        <v>0</v>
      </c>
      <c r="M20" s="112" t="n">
        <v>0</v>
      </c>
      <c r="N20" s="112" t="n">
        <v>0</v>
      </c>
      <c r="O20" s="112" t="n">
        <v>0</v>
      </c>
      <c r="P20" s="113" t="n">
        <v>30</v>
      </c>
      <c r="Q20" s="114" t="n">
        <v>90.2</v>
      </c>
      <c r="R20" s="115" t="n">
        <v>94.5</v>
      </c>
    </row>
    <row r="21" customFormat="false" ht="12.75" hidden="false" customHeight="false" outlineLevel="0" collapsed="false">
      <c r="A21" s="56"/>
      <c r="B21" s="111" t="s">
        <v>172</v>
      </c>
      <c r="C21" s="112" t="n">
        <v>0</v>
      </c>
      <c r="D21" s="112" t="n">
        <v>0</v>
      </c>
      <c r="E21" s="112" t="n">
        <v>0</v>
      </c>
      <c r="F21" s="112" t="n">
        <v>0</v>
      </c>
      <c r="G21" s="112" t="n">
        <v>0</v>
      </c>
      <c r="H21" s="112" t="n">
        <v>0</v>
      </c>
      <c r="I21" s="112" t="n">
        <v>0</v>
      </c>
      <c r="J21" s="112" t="n">
        <v>0</v>
      </c>
      <c r="K21" s="112" t="n">
        <v>0</v>
      </c>
      <c r="L21" s="112" t="n">
        <v>0</v>
      </c>
      <c r="M21" s="112" t="n">
        <v>0</v>
      </c>
      <c r="N21" s="112" t="n">
        <v>0</v>
      </c>
      <c r="O21" s="112" t="n">
        <v>0</v>
      </c>
      <c r="P21" s="113" t="n">
        <v>62</v>
      </c>
      <c r="Q21" s="114" t="n">
        <v>90.2</v>
      </c>
      <c r="R21" s="115" t="n">
        <v>93.9</v>
      </c>
    </row>
    <row r="22" customFormat="false" ht="12.75" hidden="false" customHeight="false" outlineLevel="0" collapsed="false">
      <c r="A22" s="116"/>
      <c r="B22" s="111" t="s">
        <v>173</v>
      </c>
      <c r="C22" s="112" t="n">
        <v>0</v>
      </c>
      <c r="D22" s="112" t="n">
        <v>0</v>
      </c>
      <c r="E22" s="112" t="n">
        <v>0</v>
      </c>
      <c r="F22" s="112" t="n">
        <v>0</v>
      </c>
      <c r="G22" s="112" t="n">
        <v>0</v>
      </c>
      <c r="H22" s="112" t="n">
        <v>0</v>
      </c>
      <c r="I22" s="112" t="n">
        <v>0</v>
      </c>
      <c r="J22" s="112" t="n">
        <v>0</v>
      </c>
      <c r="K22" s="112" t="n">
        <v>0</v>
      </c>
      <c r="L22" s="112" t="n">
        <v>0</v>
      </c>
      <c r="M22" s="112" t="n">
        <v>0</v>
      </c>
      <c r="N22" s="112" t="n">
        <v>0</v>
      </c>
      <c r="O22" s="112" t="n">
        <v>0</v>
      </c>
      <c r="P22" s="113" t="n">
        <v>84</v>
      </c>
      <c r="Q22" s="114" t="n">
        <v>90.1</v>
      </c>
      <c r="R22" s="115" t="n">
        <v>94.2</v>
      </c>
    </row>
    <row r="23" customFormat="false" ht="12.75" hidden="false" customHeight="false" outlineLevel="0" collapsed="false">
      <c r="A23" s="56"/>
      <c r="B23" s="111" t="s">
        <v>174</v>
      </c>
      <c r="C23" s="112" t="n">
        <v>0</v>
      </c>
      <c r="D23" s="112" t="n">
        <v>0</v>
      </c>
      <c r="E23" s="112" t="n">
        <v>0</v>
      </c>
      <c r="F23" s="112" t="n">
        <v>0</v>
      </c>
      <c r="G23" s="112" t="n">
        <v>0</v>
      </c>
      <c r="H23" s="112" t="n">
        <v>0</v>
      </c>
      <c r="I23" s="112" t="n">
        <v>0</v>
      </c>
      <c r="J23" s="112" t="n">
        <v>0</v>
      </c>
      <c r="K23" s="112" t="n">
        <v>0</v>
      </c>
      <c r="L23" s="112" t="n">
        <v>0</v>
      </c>
      <c r="M23" s="112" t="n">
        <v>0</v>
      </c>
      <c r="N23" s="112" t="n">
        <v>0</v>
      </c>
      <c r="O23" s="112" t="n">
        <v>0</v>
      </c>
      <c r="P23" s="113" t="n">
        <v>99</v>
      </c>
      <c r="Q23" s="114" t="n">
        <v>88.9</v>
      </c>
      <c r="R23" s="115" t="n">
        <v>93.1</v>
      </c>
    </row>
    <row r="24" customFormat="false" ht="12.75" hidden="false" customHeight="false" outlineLevel="0" collapsed="false">
      <c r="A24" s="56"/>
      <c r="B24" s="111" t="s">
        <v>175</v>
      </c>
      <c r="C24" s="112" t="n">
        <v>0</v>
      </c>
      <c r="D24" s="112" t="n">
        <v>0</v>
      </c>
      <c r="E24" s="112" t="n">
        <v>0</v>
      </c>
      <c r="F24" s="112" t="n">
        <v>0</v>
      </c>
      <c r="G24" s="112" t="n">
        <v>0</v>
      </c>
      <c r="H24" s="112" t="n">
        <v>0</v>
      </c>
      <c r="I24" s="112" t="n">
        <v>0</v>
      </c>
      <c r="J24" s="112" t="n">
        <v>0</v>
      </c>
      <c r="K24" s="112" t="n">
        <v>0</v>
      </c>
      <c r="L24" s="112" t="n">
        <v>0</v>
      </c>
      <c r="M24" s="112" t="n">
        <v>0</v>
      </c>
      <c r="N24" s="112" t="n">
        <v>0</v>
      </c>
      <c r="O24" s="112" t="n">
        <v>0</v>
      </c>
      <c r="P24" s="113" t="n">
        <v>97</v>
      </c>
      <c r="Q24" s="114" t="n">
        <v>89.8</v>
      </c>
      <c r="R24" s="115" t="n">
        <v>94</v>
      </c>
    </row>
    <row r="25" customFormat="false" ht="12.75" hidden="false" customHeight="false" outlineLevel="0" collapsed="false">
      <c r="A25" s="116"/>
      <c r="B25" s="117" t="s">
        <v>176</v>
      </c>
      <c r="C25" s="112" t="n">
        <v>0</v>
      </c>
      <c r="D25" s="112" t="n">
        <v>0</v>
      </c>
      <c r="E25" s="112" t="n">
        <v>0</v>
      </c>
      <c r="F25" s="112" t="n">
        <v>0</v>
      </c>
      <c r="G25" s="112" t="n">
        <v>0</v>
      </c>
      <c r="H25" s="112" t="n">
        <v>0</v>
      </c>
      <c r="I25" s="112" t="n">
        <v>0</v>
      </c>
      <c r="J25" s="112" t="n">
        <v>0</v>
      </c>
      <c r="K25" s="112" t="n">
        <v>0</v>
      </c>
      <c r="L25" s="112" t="n">
        <v>0</v>
      </c>
      <c r="M25" s="112" t="n">
        <v>0</v>
      </c>
      <c r="N25" s="112" t="n">
        <v>0</v>
      </c>
      <c r="O25" s="112" t="n">
        <v>0</v>
      </c>
      <c r="P25" s="118" t="n">
        <v>98</v>
      </c>
      <c r="Q25" s="119" t="n">
        <v>89.6</v>
      </c>
      <c r="R25" s="120" t="n">
        <v>94</v>
      </c>
    </row>
    <row r="26" customFormat="false" ht="12.75" hidden="false" customHeight="false" outlineLevel="0" collapsed="false">
      <c r="A26" s="56"/>
      <c r="B26" s="121" t="s">
        <v>177</v>
      </c>
      <c r="C26" s="112" t="n">
        <v>0</v>
      </c>
      <c r="D26" s="112" t="n">
        <v>0</v>
      </c>
      <c r="E26" s="112" t="n">
        <v>0</v>
      </c>
      <c r="F26" s="112" t="n">
        <v>0</v>
      </c>
      <c r="G26" s="112" t="n">
        <v>0</v>
      </c>
      <c r="H26" s="112" t="n">
        <v>0</v>
      </c>
      <c r="I26" s="112" t="n">
        <v>0</v>
      </c>
      <c r="J26" s="112" t="n">
        <v>0</v>
      </c>
      <c r="K26" s="112" t="n">
        <v>0</v>
      </c>
      <c r="L26" s="112" t="n">
        <v>0</v>
      </c>
      <c r="M26" s="112" t="n">
        <v>0</v>
      </c>
      <c r="N26" s="112" t="n">
        <v>0</v>
      </c>
      <c r="O26" s="112" t="n">
        <v>0</v>
      </c>
      <c r="P26" s="122" t="n">
        <v>91</v>
      </c>
      <c r="Q26" s="123" t="n">
        <v>89.7</v>
      </c>
      <c r="R26" s="124" t="n">
        <v>94.1</v>
      </c>
    </row>
    <row r="27" customFormat="false" ht="12.75" hidden="false" customHeight="false" outlineLevel="0" collapsed="false">
      <c r="A27" s="56"/>
      <c r="B27" s="111" t="s">
        <v>178</v>
      </c>
      <c r="C27" s="112" t="n">
        <v>0</v>
      </c>
      <c r="D27" s="112" t="n">
        <v>0</v>
      </c>
      <c r="E27" s="112" t="n">
        <v>0</v>
      </c>
      <c r="F27" s="112" t="n">
        <v>0</v>
      </c>
      <c r="G27" s="112" t="n">
        <v>0</v>
      </c>
      <c r="H27" s="112" t="n">
        <v>0</v>
      </c>
      <c r="I27" s="112" t="n">
        <v>0</v>
      </c>
      <c r="J27" s="112" t="n">
        <v>0</v>
      </c>
      <c r="K27" s="112" t="n">
        <v>0</v>
      </c>
      <c r="L27" s="112" t="n">
        <v>0</v>
      </c>
      <c r="M27" s="112" t="n">
        <v>0</v>
      </c>
      <c r="N27" s="112" t="n">
        <v>0</v>
      </c>
      <c r="O27" s="112" t="n">
        <v>0</v>
      </c>
      <c r="P27" s="113" t="n">
        <v>83</v>
      </c>
      <c r="Q27" s="114" t="n">
        <v>89.5</v>
      </c>
      <c r="R27" s="115" t="n">
        <v>94.3</v>
      </c>
    </row>
    <row r="28" customFormat="false" ht="12.75" hidden="false" customHeight="false" outlineLevel="0" collapsed="false">
      <c r="A28" s="56"/>
      <c r="B28" s="111" t="s">
        <v>179</v>
      </c>
      <c r="C28" s="112" t="n">
        <v>0</v>
      </c>
      <c r="D28" s="112" t="n">
        <v>0</v>
      </c>
      <c r="E28" s="112" t="n">
        <v>0</v>
      </c>
      <c r="F28" s="112" t="n">
        <v>0</v>
      </c>
      <c r="G28" s="112" t="n">
        <v>0</v>
      </c>
      <c r="H28" s="112" t="n">
        <v>0</v>
      </c>
      <c r="I28" s="112" t="n">
        <v>0</v>
      </c>
      <c r="J28" s="112" t="n">
        <v>0</v>
      </c>
      <c r="K28" s="112" t="n">
        <v>0</v>
      </c>
      <c r="L28" s="112" t="n">
        <v>0</v>
      </c>
      <c r="M28" s="112" t="n">
        <v>0</v>
      </c>
      <c r="N28" s="112" t="n">
        <v>0</v>
      </c>
      <c r="O28" s="112" t="n">
        <v>0</v>
      </c>
      <c r="P28" s="113" t="n">
        <v>90</v>
      </c>
      <c r="Q28" s="114" t="n">
        <v>90.1</v>
      </c>
      <c r="R28" s="115" t="n">
        <v>94</v>
      </c>
    </row>
    <row r="29" customFormat="false" ht="12.75" hidden="false" customHeight="false" outlineLevel="0" collapsed="false">
      <c r="A29" s="116"/>
      <c r="B29" s="111" t="s">
        <v>180</v>
      </c>
      <c r="C29" s="112" t="n">
        <v>0</v>
      </c>
      <c r="D29" s="112" t="n">
        <v>0</v>
      </c>
      <c r="E29" s="112" t="n">
        <v>0</v>
      </c>
      <c r="F29" s="112" t="n">
        <v>0</v>
      </c>
      <c r="G29" s="112" t="n">
        <v>0</v>
      </c>
      <c r="H29" s="112" t="n">
        <v>0</v>
      </c>
      <c r="I29" s="112" t="n">
        <v>0</v>
      </c>
      <c r="J29" s="112" t="n">
        <v>0</v>
      </c>
      <c r="K29" s="112" t="n">
        <v>0</v>
      </c>
      <c r="L29" s="112" t="n">
        <v>0</v>
      </c>
      <c r="M29" s="112" t="n">
        <v>0</v>
      </c>
      <c r="N29" s="112" t="n">
        <v>0</v>
      </c>
      <c r="O29" s="112" t="n">
        <v>0</v>
      </c>
      <c r="P29" s="113" t="n">
        <v>103</v>
      </c>
      <c r="Q29" s="114" t="n">
        <v>89.6</v>
      </c>
      <c r="R29" s="115" t="n">
        <v>93.8</v>
      </c>
    </row>
    <row r="30" customFormat="false" ht="12.75" hidden="false" customHeight="false" outlineLevel="0" collapsed="false">
      <c r="A30" s="116"/>
      <c r="B30" s="111" t="s">
        <v>181</v>
      </c>
      <c r="C30" s="112" t="n">
        <v>0</v>
      </c>
      <c r="D30" s="112" t="n">
        <v>0</v>
      </c>
      <c r="E30" s="112" t="n">
        <v>0</v>
      </c>
      <c r="F30" s="112" t="n">
        <v>0</v>
      </c>
      <c r="G30" s="112" t="n">
        <v>0</v>
      </c>
      <c r="H30" s="112" t="n">
        <v>0</v>
      </c>
      <c r="I30" s="112" t="n">
        <v>0</v>
      </c>
      <c r="J30" s="112" t="n">
        <v>0</v>
      </c>
      <c r="K30" s="112" t="n">
        <v>0</v>
      </c>
      <c r="L30" s="112" t="n">
        <v>0</v>
      </c>
      <c r="M30" s="112" t="n">
        <v>0</v>
      </c>
      <c r="N30" s="112" t="n">
        <v>0</v>
      </c>
      <c r="O30" s="112" t="n">
        <v>0</v>
      </c>
      <c r="P30" s="113" t="n">
        <v>102</v>
      </c>
      <c r="Q30" s="114" t="n">
        <v>89.9</v>
      </c>
      <c r="R30" s="115" t="n">
        <v>93.9</v>
      </c>
    </row>
    <row r="31" customFormat="false" ht="12.75" hidden="false" customHeight="false" outlineLevel="0" collapsed="false">
      <c r="A31" s="56"/>
      <c r="B31" s="111" t="s">
        <v>182</v>
      </c>
      <c r="C31" s="112" t="n">
        <v>0</v>
      </c>
      <c r="D31" s="112" t="n">
        <v>0</v>
      </c>
      <c r="E31" s="112" t="n">
        <v>0</v>
      </c>
      <c r="F31" s="112" t="n">
        <v>0</v>
      </c>
      <c r="G31" s="112" t="n">
        <v>0</v>
      </c>
      <c r="H31" s="112" t="n">
        <v>0</v>
      </c>
      <c r="I31" s="112" t="n">
        <v>0</v>
      </c>
      <c r="J31" s="112" t="n">
        <v>0</v>
      </c>
      <c r="K31" s="112" t="n">
        <v>0</v>
      </c>
      <c r="L31" s="112" t="n">
        <v>0</v>
      </c>
      <c r="M31" s="112" t="n">
        <v>0</v>
      </c>
      <c r="N31" s="112" t="n">
        <v>0</v>
      </c>
      <c r="O31" s="112" t="n">
        <v>0</v>
      </c>
      <c r="P31" s="113" t="n">
        <v>85</v>
      </c>
      <c r="Q31" s="114" t="n">
        <v>90.1</v>
      </c>
      <c r="R31" s="115" t="n">
        <v>94.3</v>
      </c>
    </row>
    <row r="32" customFormat="false" ht="12.75" hidden="false" customHeight="false" outlineLevel="0" collapsed="false">
      <c r="A32" s="56"/>
      <c r="B32" s="111" t="s">
        <v>183</v>
      </c>
      <c r="C32" s="112" t="n">
        <v>0</v>
      </c>
      <c r="D32" s="112" t="n">
        <v>0</v>
      </c>
      <c r="E32" s="112" t="n">
        <v>0</v>
      </c>
      <c r="F32" s="112" t="n">
        <v>0</v>
      </c>
      <c r="G32" s="112" t="n">
        <v>0</v>
      </c>
      <c r="H32" s="112" t="n">
        <v>0</v>
      </c>
      <c r="I32" s="112" t="n">
        <v>0</v>
      </c>
      <c r="J32" s="112" t="n">
        <v>0</v>
      </c>
      <c r="K32" s="112" t="n">
        <v>0</v>
      </c>
      <c r="L32" s="112" t="n">
        <v>0</v>
      </c>
      <c r="M32" s="112" t="n">
        <v>0</v>
      </c>
      <c r="N32" s="112" t="n">
        <v>0</v>
      </c>
      <c r="O32" s="112" t="n">
        <v>0</v>
      </c>
      <c r="P32" s="113" t="n">
        <v>61</v>
      </c>
      <c r="Q32" s="114" t="n">
        <v>90.1</v>
      </c>
      <c r="R32" s="115" t="n">
        <v>94.6</v>
      </c>
    </row>
    <row r="33" customFormat="false" ht="12.75" hidden="false" customHeight="false" outlineLevel="0" collapsed="false">
      <c r="A33" s="56"/>
      <c r="B33" s="111" t="s">
        <v>184</v>
      </c>
      <c r="C33" s="112" t="n">
        <v>0</v>
      </c>
      <c r="D33" s="112" t="n">
        <v>0</v>
      </c>
      <c r="E33" s="112" t="n">
        <v>0</v>
      </c>
      <c r="F33" s="112" t="n">
        <v>0</v>
      </c>
      <c r="G33" s="112" t="n">
        <v>0</v>
      </c>
      <c r="H33" s="112" t="n">
        <v>0</v>
      </c>
      <c r="I33" s="112" t="n">
        <v>0</v>
      </c>
      <c r="J33" s="112" t="n">
        <v>0</v>
      </c>
      <c r="K33" s="112" t="n">
        <v>0</v>
      </c>
      <c r="L33" s="112" t="n">
        <v>0</v>
      </c>
      <c r="M33" s="112" t="n">
        <v>0</v>
      </c>
      <c r="N33" s="112" t="n">
        <v>0</v>
      </c>
      <c r="O33" s="112" t="n">
        <v>0</v>
      </c>
      <c r="P33" s="113" t="n">
        <v>42</v>
      </c>
      <c r="Q33" s="114" t="n">
        <v>90.7</v>
      </c>
      <c r="R33" s="115" t="n">
        <v>94.3</v>
      </c>
    </row>
    <row r="34" customFormat="false" ht="12.75" hidden="false" customHeight="false" outlineLevel="0" collapsed="false">
      <c r="A34" s="56"/>
      <c r="B34" s="111" t="s">
        <v>185</v>
      </c>
      <c r="C34" s="112" t="n">
        <v>0</v>
      </c>
      <c r="D34" s="112" t="n">
        <v>0</v>
      </c>
      <c r="E34" s="112" t="n">
        <v>0</v>
      </c>
      <c r="F34" s="112" t="n">
        <v>0</v>
      </c>
      <c r="G34" s="112" t="n">
        <v>0</v>
      </c>
      <c r="H34" s="112" t="n">
        <v>0</v>
      </c>
      <c r="I34" s="112" t="n">
        <v>0</v>
      </c>
      <c r="J34" s="112" t="n">
        <v>0</v>
      </c>
      <c r="K34" s="112" t="n">
        <v>0</v>
      </c>
      <c r="L34" s="112" t="n">
        <v>0</v>
      </c>
      <c r="M34" s="112" t="n">
        <v>0</v>
      </c>
      <c r="N34" s="112" t="n">
        <v>0</v>
      </c>
      <c r="O34" s="112" t="n">
        <v>0</v>
      </c>
      <c r="P34" s="113" t="n">
        <v>29</v>
      </c>
      <c r="Q34" s="114" t="n">
        <v>89.1</v>
      </c>
      <c r="R34" s="115" t="n">
        <v>92.9</v>
      </c>
    </row>
    <row r="35" customFormat="false" ht="12.75" hidden="false" customHeight="false" outlineLevel="0" collapsed="false">
      <c r="A35" s="56"/>
      <c r="B35" s="111" t="s">
        <v>186</v>
      </c>
      <c r="C35" s="112" t="n">
        <v>0</v>
      </c>
      <c r="D35" s="112" t="n">
        <v>0</v>
      </c>
      <c r="E35" s="112" t="n">
        <v>0</v>
      </c>
      <c r="F35" s="112" t="n">
        <v>0</v>
      </c>
      <c r="G35" s="112" t="n">
        <v>0</v>
      </c>
      <c r="H35" s="112" t="n">
        <v>0</v>
      </c>
      <c r="I35" s="112" t="n">
        <v>0</v>
      </c>
      <c r="J35" s="112" t="n">
        <v>0</v>
      </c>
      <c r="K35" s="112" t="n">
        <v>0</v>
      </c>
      <c r="L35" s="112" t="n">
        <v>0</v>
      </c>
      <c r="M35" s="112" t="n">
        <v>0</v>
      </c>
      <c r="N35" s="112" t="n">
        <v>0</v>
      </c>
      <c r="O35" s="112" t="n">
        <v>0</v>
      </c>
      <c r="P35" s="113" t="n">
        <v>25</v>
      </c>
      <c r="Q35" s="114" t="n">
        <v>90.2</v>
      </c>
      <c r="R35" s="115" t="n">
        <v>93.8</v>
      </c>
    </row>
    <row r="36" customFormat="false" ht="12.75" hidden="false" customHeight="false" outlineLevel="0" collapsed="false">
      <c r="A36" s="56"/>
      <c r="B36" s="111" t="s">
        <v>187</v>
      </c>
      <c r="C36" s="112" t="n">
        <v>0</v>
      </c>
      <c r="D36" s="112" t="n">
        <v>0</v>
      </c>
      <c r="E36" s="112" t="n">
        <v>0</v>
      </c>
      <c r="F36" s="112" t="n">
        <v>0</v>
      </c>
      <c r="G36" s="112" t="n">
        <v>0</v>
      </c>
      <c r="H36" s="112" t="n">
        <v>0</v>
      </c>
      <c r="I36" s="112" t="n">
        <v>0</v>
      </c>
      <c r="J36" s="112" t="n">
        <v>0</v>
      </c>
      <c r="K36" s="112" t="n">
        <v>0</v>
      </c>
      <c r="L36" s="112" t="n">
        <v>0</v>
      </c>
      <c r="M36" s="112" t="n">
        <v>0</v>
      </c>
      <c r="N36" s="112" t="n">
        <v>0</v>
      </c>
      <c r="O36" s="112" t="n">
        <v>0</v>
      </c>
      <c r="P36" s="113" t="n">
        <v>18</v>
      </c>
      <c r="Q36" s="114" t="n">
        <v>90.7</v>
      </c>
      <c r="R36" s="115" t="n">
        <v>93.9</v>
      </c>
    </row>
    <row r="37" customFormat="false" ht="12.75" hidden="false" customHeight="true" outlineLevel="0" collapsed="false">
      <c r="A37" s="56"/>
      <c r="B37" s="111" t="s">
        <v>188</v>
      </c>
      <c r="C37" s="112" t="n">
        <v>0</v>
      </c>
      <c r="D37" s="112" t="n">
        <v>0</v>
      </c>
      <c r="E37" s="112" t="n">
        <v>0</v>
      </c>
      <c r="F37" s="112" t="n">
        <v>0</v>
      </c>
      <c r="G37" s="112" t="n">
        <v>0</v>
      </c>
      <c r="H37" s="112" t="n">
        <v>0</v>
      </c>
      <c r="I37" s="112" t="n">
        <v>0</v>
      </c>
      <c r="J37" s="112" t="n">
        <v>0</v>
      </c>
      <c r="K37" s="112" t="n">
        <v>0</v>
      </c>
      <c r="L37" s="112" t="n">
        <v>0</v>
      </c>
      <c r="M37" s="112" t="n">
        <v>0</v>
      </c>
      <c r="N37" s="112" t="n">
        <v>0</v>
      </c>
      <c r="O37" s="112" t="n">
        <v>0</v>
      </c>
      <c r="P37" s="113" t="n">
        <v>12</v>
      </c>
      <c r="Q37" s="114" t="n">
        <v>91.2</v>
      </c>
      <c r="R37" s="115" t="n">
        <v>95.5</v>
      </c>
    </row>
    <row r="38" customFormat="false" ht="12.75" hidden="false" customHeight="true" outlineLevel="0" collapsed="false">
      <c r="A38" s="56"/>
      <c r="B38" s="125" t="s">
        <v>189</v>
      </c>
      <c r="C38" s="126" t="n">
        <v>925</v>
      </c>
      <c r="D38" s="126" t="n">
        <v>69</v>
      </c>
      <c r="E38" s="126" t="n">
        <v>53</v>
      </c>
      <c r="F38" s="126" t="n">
        <v>15</v>
      </c>
      <c r="G38" s="126" t="n">
        <v>2</v>
      </c>
      <c r="H38" s="126" t="n">
        <v>3</v>
      </c>
      <c r="I38" s="126" t="n">
        <v>4</v>
      </c>
      <c r="J38" s="126" t="n">
        <v>13</v>
      </c>
      <c r="K38" s="126" t="n">
        <v>63</v>
      </c>
      <c r="L38" s="126" t="n">
        <v>118</v>
      </c>
      <c r="M38" s="126" t="n">
        <v>1</v>
      </c>
      <c r="N38" s="126" t="n">
        <v>0</v>
      </c>
      <c r="O38" s="126" t="n">
        <v>0</v>
      </c>
      <c r="P38" s="113" t="n">
        <v>1265</v>
      </c>
      <c r="Q38" s="127" t="n">
        <v>89.9</v>
      </c>
      <c r="R38" s="128" t="n">
        <v>94</v>
      </c>
    </row>
    <row r="39" customFormat="false" ht="12.75" hidden="false" customHeight="false" outlineLevel="0" collapsed="false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80"/>
      <c r="R39" s="80"/>
    </row>
    <row r="40" customFormat="false" ht="12.75" hidden="false" customHeight="true" outlineLevel="0" collapsed="false">
      <c r="A40" s="56"/>
      <c r="B40" s="129" t="s">
        <v>190</v>
      </c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56"/>
      <c r="R40" s="56"/>
    </row>
    <row r="41" s="130" customFormat="true" ht="12.75" hidden="false" customHeight="false" outlineLevel="0" collapsed="false">
      <c r="A41" s="56"/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</row>
    <row r="42" customFormat="false" ht="12.75" hidden="false" customHeight="true" outlineLevel="0" collapsed="false">
      <c r="A42" s="56"/>
      <c r="B42" s="111" t="s">
        <v>191</v>
      </c>
      <c r="C42" s="112" t="n">
        <v>109</v>
      </c>
      <c r="D42" s="112" t="n">
        <v>8</v>
      </c>
      <c r="E42" s="112" t="n">
        <v>9</v>
      </c>
      <c r="F42" s="112" t="n">
        <v>3</v>
      </c>
      <c r="G42" s="112" t="n">
        <v>0</v>
      </c>
      <c r="H42" s="112" t="n">
        <v>1</v>
      </c>
      <c r="I42" s="112" t="n">
        <v>0</v>
      </c>
      <c r="J42" s="112" t="n">
        <v>2</v>
      </c>
      <c r="K42" s="112" t="n">
        <v>6</v>
      </c>
      <c r="L42" s="112" t="n">
        <v>9</v>
      </c>
      <c r="M42" s="112" t="n">
        <v>0</v>
      </c>
      <c r="N42" s="112" t="n">
        <v>0</v>
      </c>
      <c r="O42" s="131" t="n">
        <v>0</v>
      </c>
      <c r="P42" s="113" t="n">
        <v>146</v>
      </c>
      <c r="Q42" s="114" t="n">
        <v>90.1</v>
      </c>
      <c r="R42" s="115" t="n">
        <v>94.1</v>
      </c>
    </row>
    <row r="43" customFormat="false" ht="12.75" hidden="false" customHeight="true" outlineLevel="0" collapsed="false">
      <c r="A43" s="56"/>
      <c r="B43" s="111" t="s">
        <v>192</v>
      </c>
      <c r="C43" s="112" t="n">
        <v>144</v>
      </c>
      <c r="D43" s="112" t="n">
        <v>9</v>
      </c>
      <c r="E43" s="112" t="n">
        <v>5</v>
      </c>
      <c r="F43" s="112" t="n">
        <v>1</v>
      </c>
      <c r="G43" s="112" t="n">
        <v>0</v>
      </c>
      <c r="H43" s="112" t="n">
        <v>1</v>
      </c>
      <c r="I43" s="112" t="n">
        <v>1</v>
      </c>
      <c r="J43" s="112" t="n">
        <v>2</v>
      </c>
      <c r="K43" s="112" t="n">
        <v>9</v>
      </c>
      <c r="L43" s="112" t="n">
        <v>16</v>
      </c>
      <c r="M43" s="112" t="n">
        <v>0</v>
      </c>
      <c r="N43" s="112" t="n">
        <v>0</v>
      </c>
      <c r="O43" s="131" t="n">
        <v>0</v>
      </c>
      <c r="P43" s="113" t="n">
        <v>187</v>
      </c>
      <c r="Q43" s="114" t="n">
        <v>90</v>
      </c>
      <c r="R43" s="115" t="n">
        <v>94.2</v>
      </c>
    </row>
    <row r="44" customFormat="false" ht="12.75" hidden="false" customHeight="true" outlineLevel="0" collapsed="false">
      <c r="A44" s="56"/>
      <c r="B44" s="111" t="s">
        <v>193</v>
      </c>
      <c r="C44" s="112" t="n">
        <v>671</v>
      </c>
      <c r="D44" s="112" t="n">
        <v>52</v>
      </c>
      <c r="E44" s="112" t="n">
        <v>39</v>
      </c>
      <c r="F44" s="112" t="n">
        <v>11</v>
      </c>
      <c r="G44" s="112" t="n">
        <v>2</v>
      </c>
      <c r="H44" s="112" t="n">
        <v>2</v>
      </c>
      <c r="I44" s="112" t="n">
        <v>3</v>
      </c>
      <c r="J44" s="112" t="n">
        <v>10</v>
      </c>
      <c r="K44" s="112" t="n">
        <v>48</v>
      </c>
      <c r="L44" s="112" t="n">
        <v>93</v>
      </c>
      <c r="M44" s="112" t="n">
        <v>0</v>
      </c>
      <c r="N44" s="112" t="n">
        <v>0</v>
      </c>
      <c r="O44" s="131" t="n">
        <v>0</v>
      </c>
      <c r="P44" s="113" t="n">
        <v>933</v>
      </c>
      <c r="Q44" s="114"/>
      <c r="R44" s="132"/>
    </row>
    <row r="58" customFormat="false" ht="13.5" hidden="true" customHeight="true" outlineLevel="0" collapsed="false"/>
    <row r="91" customFormat="false" ht="13.5" hidden="true" customHeight="true" outlineLevel="0" collapsed="false"/>
    <row r="307" customFormat="false" ht="12.75" hidden="false" customHeight="true" outlineLevel="0" collapsed="false"/>
    <row r="330" customFormat="false" ht="12.75" hidden="false" customHeight="false" outlineLevel="0" collapsed="false"/>
  </sheetData>
  <conditionalFormatting sqref="J8:L8">
    <cfRule type="containsErrors" priority="2" aboveAverage="0" equalAverage="0" bottom="0" percent="0" rank="0" text="" dxfId="0">
      <formula>0</formula>
    </cfRule>
  </conditionalFormatting>
  <conditionalFormatting sqref="J5:L8 Q14:R43 C14:P44">
    <cfRule type="containsErrors" priority="3" aboveAverage="0" equalAverage="0" bottom="0" percent="0" rank="0" text="" dxfId="1">
      <formula>0</formula>
    </cfRule>
  </conditionalFormatting>
  <conditionalFormatting sqref="C279:R282">
    <cfRule type="containsErrors" priority="4" aboveAverage="0" equalAverage="0" bottom="0" percent="0" rank="0" text="" dxfId="2">
      <formula>0</formula>
    </cfRule>
  </conditionalFormatting>
  <conditionalFormatting sqref="Q294:R297 C294:P298">
    <cfRule type="containsErrors" priority="5" aboveAverage="0" equalAverage="0" bottom="0" percent="0" rank="0" text="" dxfId="3">
      <formula>0</formula>
    </cfRule>
  </conditionalFormatting>
  <conditionalFormatting sqref="C304:R307">
    <cfRule type="containsErrors" priority="6" aboveAverage="0" equalAverage="0" bottom="0" percent="0" rank="0" text="" dxfId="4">
      <formula>0</formula>
    </cfRule>
  </conditionalFormatting>
  <conditionalFormatting sqref="C289:R292">
    <cfRule type="containsErrors" priority="7" aboveAverage="0" equalAverage="0" bottom="0" percent="0" rank="0" text="" dxfId="5">
      <formula>0</formula>
    </cfRule>
  </conditionalFormatting>
  <conditionalFormatting sqref="C299:R302">
    <cfRule type="containsErrors" priority="8" aboveAverage="0" equalAverage="0" bottom="0" percent="0" rank="0" text="" dxfId="6">
      <formula>0</formula>
    </cfRule>
  </conditionalFormatting>
  <conditionalFormatting sqref="Q284:R287 C284:P288">
    <cfRule type="containsErrors" priority="9" aboveAverage="0" equalAverage="0" bottom="0" percent="0" rank="0" text="" dxfId="7">
      <formula>0</formula>
    </cfRule>
  </conditionalFormatting>
  <conditionalFormatting sqref="Q274:R277 C274:P278">
    <cfRule type="containsErrors" priority="10" aboveAverage="0" equalAverage="0" bottom="0" percent="0" rank="0" text="" dxfId="8">
      <formula>0</formula>
    </cfRule>
  </conditionalFormatting>
  <conditionalFormatting sqref="C268:R271">
    <cfRule type="containsErrors" priority="11" aboveAverage="0" equalAverage="0" bottom="0" percent="0" rank="0" text="" dxfId="9">
      <formula>0</formula>
    </cfRule>
  </conditionalFormatting>
  <conditionalFormatting sqref="C258:R261">
    <cfRule type="containsErrors" priority="12" aboveAverage="0" equalAverage="0" bottom="0" percent="0" rank="0" text="" dxfId="10">
      <formula>0</formula>
    </cfRule>
  </conditionalFormatting>
  <conditionalFormatting sqref="Q263:R266 C263:P267">
    <cfRule type="containsErrors" priority="13" aboveAverage="0" equalAverage="0" bottom="0" percent="0" rank="0" text="" dxfId="11">
      <formula>0</formula>
    </cfRule>
  </conditionalFormatting>
  <conditionalFormatting sqref="C238:R241">
    <cfRule type="containsErrors" priority="14" aboveAverage="0" equalAverage="0" bottom="0" percent="0" rank="0" text="" dxfId="12">
      <formula>0</formula>
    </cfRule>
  </conditionalFormatting>
  <conditionalFormatting sqref="Q253:R256 C253:P257">
    <cfRule type="containsErrors" priority="15" aboveAverage="0" equalAverage="0" bottom="0" percent="0" rank="0" text="" dxfId="13">
      <formula>0</formula>
    </cfRule>
  </conditionalFormatting>
  <conditionalFormatting sqref="C248:R251">
    <cfRule type="containsErrors" priority="16" aboveAverage="0" equalAverage="0" bottom="0" percent="0" rank="0" text="" dxfId="14">
      <formula>0</formula>
    </cfRule>
  </conditionalFormatting>
  <conditionalFormatting sqref="Q243:R246 C243:P247">
    <cfRule type="containsErrors" priority="17" aboveAverage="0" equalAverage="0" bottom="0" percent="0" rank="0" text="" dxfId="15">
      <formula>0</formula>
    </cfRule>
  </conditionalFormatting>
  <conditionalFormatting sqref="Q233:R236 C233:P237">
    <cfRule type="containsErrors" priority="18" aboveAverage="0" equalAverage="0" bottom="0" percent="0" rank="0" text="" dxfId="16">
      <formula>0</formula>
    </cfRule>
  </conditionalFormatting>
  <conditionalFormatting sqref="C228:R231">
    <cfRule type="containsErrors" priority="19" aboveAverage="0" equalAverage="0" bottom="0" percent="0" rank="0" text="" dxfId="17">
      <formula>0</formula>
    </cfRule>
  </conditionalFormatting>
  <conditionalFormatting sqref="Q223:R226 C223:P227">
    <cfRule type="containsErrors" priority="20" aboveAverage="0" equalAverage="0" bottom="0" percent="0" rank="0" text="" dxfId="18">
      <formula>0</formula>
    </cfRule>
  </conditionalFormatting>
  <conditionalFormatting sqref="C218:R221">
    <cfRule type="containsErrors" priority="21" aboveAverage="0" equalAverage="0" bottom="0" percent="0" rank="0" text="" dxfId="19">
      <formula>0</formula>
    </cfRule>
  </conditionalFormatting>
  <conditionalFormatting sqref="Q213:R216 C213:P217">
    <cfRule type="containsErrors" priority="22" aboveAverage="0" equalAverage="0" bottom="0" percent="0" rank="0" text="" dxfId="20">
      <formula>0</formula>
    </cfRule>
  </conditionalFormatting>
  <conditionalFormatting sqref="C208:R211">
    <cfRule type="containsErrors" priority="23" aboveAverage="0" equalAverage="0" bottom="0" percent="0" rank="0" text="" dxfId="21">
      <formula>0</formula>
    </cfRule>
  </conditionalFormatting>
  <conditionalFormatting sqref="Q202:R205 C202:P207">
    <cfRule type="containsErrors" priority="24" aboveAverage="0" equalAverage="0" bottom="0" percent="0" rank="0" text="" dxfId="22">
      <formula>0</formula>
    </cfRule>
  </conditionalFormatting>
  <conditionalFormatting sqref="Q192:R195 C192:P196">
    <cfRule type="containsErrors" priority="25" aboveAverage="0" equalAverage="0" bottom="0" percent="0" rank="0" text="" dxfId="23">
      <formula>0</formula>
    </cfRule>
  </conditionalFormatting>
  <conditionalFormatting sqref="C197:R200">
    <cfRule type="containsErrors" priority="26" aboveAverage="0" equalAverage="0" bottom="0" percent="0" rank="0" text="" dxfId="24">
      <formula>0</formula>
    </cfRule>
  </conditionalFormatting>
  <conditionalFormatting sqref="Q182:R185 C182:P186">
    <cfRule type="containsErrors" priority="27" aboveAverage="0" equalAverage="0" bottom="0" percent="0" rank="0" text="" dxfId="25">
      <formula>0</formula>
    </cfRule>
  </conditionalFormatting>
  <conditionalFormatting sqref="C187:R190">
    <cfRule type="containsErrors" priority="28" aboveAverage="0" equalAverage="0" bottom="0" percent="0" rank="0" text="" dxfId="26">
      <formula>0</formula>
    </cfRule>
  </conditionalFormatting>
  <conditionalFormatting sqref="Q172:R175 C172:P176">
    <cfRule type="containsErrors" priority="29" aboveAverage="0" equalAverage="0" bottom="0" percent="0" rank="0" text="" dxfId="27">
      <formula>0</formula>
    </cfRule>
  </conditionalFormatting>
  <conditionalFormatting sqref="C177:R180">
    <cfRule type="containsErrors" priority="30" aboveAverage="0" equalAverage="0" bottom="0" percent="0" rank="0" text="" dxfId="28">
      <formula>0</formula>
    </cfRule>
  </conditionalFormatting>
  <conditionalFormatting sqref="C157:R160">
    <cfRule type="containsErrors" priority="31" aboveAverage="0" equalAverage="0" bottom="0" percent="0" rank="0" text="" dxfId="29">
      <formula>0</formula>
    </cfRule>
  </conditionalFormatting>
  <conditionalFormatting sqref="C167:R170">
    <cfRule type="containsErrors" priority="32" aboveAverage="0" equalAverage="0" bottom="0" percent="0" rank="0" text="" dxfId="30">
      <formula>0</formula>
    </cfRule>
  </conditionalFormatting>
  <conditionalFormatting sqref="C147:R150">
    <cfRule type="containsErrors" priority="33" aboveAverage="0" equalAverage="0" bottom="0" percent="0" rank="0" text="" dxfId="31">
      <formula>0</formula>
    </cfRule>
  </conditionalFormatting>
  <conditionalFormatting sqref="Q162:R165 C162:P166">
    <cfRule type="containsErrors" priority="34" aboveAverage="0" equalAverage="0" bottom="0" percent="0" rank="0" text="" dxfId="32">
      <formula>0</formula>
    </cfRule>
  </conditionalFormatting>
  <conditionalFormatting sqref="C137:R140">
    <cfRule type="containsErrors" priority="35" aboveAverage="0" equalAverage="0" bottom="0" percent="0" rank="0" text="" dxfId="33">
      <formula>0</formula>
    </cfRule>
  </conditionalFormatting>
  <conditionalFormatting sqref="Q152:R155 C152:P156">
    <cfRule type="containsErrors" priority="36" aboveAverage="0" equalAverage="0" bottom="0" percent="0" rank="0" text="" dxfId="34">
      <formula>0</formula>
    </cfRule>
  </conditionalFormatting>
  <conditionalFormatting sqref="Q142:R145 C142:P146">
    <cfRule type="containsErrors" priority="37" aboveAverage="0" equalAverage="0" bottom="0" percent="0" rank="0" text="" dxfId="35">
      <formula>0</formula>
    </cfRule>
  </conditionalFormatting>
  <conditionalFormatting sqref="C117:R120">
    <cfRule type="containsErrors" priority="38" aboveAverage="0" equalAverage="0" bottom="0" percent="0" rank="0" text="" dxfId="36">
      <formula>0</formula>
    </cfRule>
  </conditionalFormatting>
  <conditionalFormatting sqref="Q132:R135 C132:P136">
    <cfRule type="containsErrors" priority="39" aboveAverage="0" equalAverage="0" bottom="0" percent="0" rank="0" text="" dxfId="37">
      <formula>0</formula>
    </cfRule>
  </conditionalFormatting>
  <conditionalFormatting sqref="Q112:R115 C112:P116">
    <cfRule type="containsErrors" priority="40" aboveAverage="0" equalAverage="0" bottom="0" percent="0" rank="0" text="" dxfId="38">
      <formula>0</formula>
    </cfRule>
  </conditionalFormatting>
  <conditionalFormatting sqref="C127:R130">
    <cfRule type="containsErrors" priority="41" aboveAverage="0" equalAverage="0" bottom="0" percent="0" rank="0" text="" dxfId="39">
      <formula>0</formula>
    </cfRule>
  </conditionalFormatting>
  <conditionalFormatting sqref="C107:R110">
    <cfRule type="containsErrors" priority="42" aboveAverage="0" equalAverage="0" bottom="0" percent="0" rank="0" text="" dxfId="40">
      <formula>0</formula>
    </cfRule>
  </conditionalFormatting>
  <conditionalFormatting sqref="Q122:R125 C122:P126">
    <cfRule type="containsErrors" priority="43" aboveAverage="0" equalAverage="0" bottom="0" percent="0" rank="0" text="" dxfId="41">
      <formula>0</formula>
    </cfRule>
  </conditionalFormatting>
  <conditionalFormatting sqref="Q102:R105 C102:P106">
    <cfRule type="containsErrors" priority="44" aboveAverage="0" equalAverage="0" bottom="0" percent="0" rank="0" text="" dxfId="42">
      <formula>0</formula>
    </cfRule>
  </conditionalFormatting>
  <conditionalFormatting sqref="C97:R100">
    <cfRule type="containsErrors" priority="45" aboveAverage="0" equalAverage="0" bottom="0" percent="0" rank="0" text="" dxfId="43">
      <formula>0</formula>
    </cfRule>
  </conditionalFormatting>
  <conditionalFormatting sqref="Q92:R95 C92:P96">
    <cfRule type="containsErrors" priority="46" aboveAverage="0" equalAverage="0" bottom="0" percent="0" rank="0" text="" dxfId="44">
      <formula>0</formula>
    </cfRule>
  </conditionalFormatting>
  <conditionalFormatting sqref="C77:R80">
    <cfRule type="containsErrors" priority="47" aboveAverage="0" equalAverage="0" bottom="0" percent="0" rank="0" text="" dxfId="45">
      <formula>0</formula>
    </cfRule>
  </conditionalFormatting>
  <conditionalFormatting sqref="Q82:R85 C82:P86">
    <cfRule type="containsErrors" priority="48" aboveAverage="0" equalAverage="0" bottom="0" percent="0" rank="0" text="" dxfId="46">
      <formula>0</formula>
    </cfRule>
  </conditionalFormatting>
  <conditionalFormatting sqref="C67:R70">
    <cfRule type="containsErrors" priority="49" aboveAverage="0" equalAverage="0" bottom="0" percent="0" rank="0" text="" dxfId="47">
      <formula>0</formula>
    </cfRule>
  </conditionalFormatting>
  <conditionalFormatting sqref="Q72:R75 C72:P76">
    <cfRule type="containsErrors" priority="50" aboveAverage="0" equalAverage="0" bottom="0" percent="0" rank="0" text="" dxfId="48">
      <formula>0</formula>
    </cfRule>
  </conditionalFormatting>
  <conditionalFormatting sqref="C87:R90">
    <cfRule type="containsErrors" priority="51" aboveAverage="0" equalAverage="0" bottom="0" percent="0" rank="0" text="" dxfId="49">
      <formula>0</formula>
    </cfRule>
  </conditionalFormatting>
  <conditionalFormatting sqref="C57:R60">
    <cfRule type="containsErrors" priority="52" aboveAverage="0" equalAverage="0" bottom="0" percent="0" rank="0" text="" dxfId="50">
      <formula>0</formula>
    </cfRule>
  </conditionalFormatting>
  <conditionalFormatting sqref="Q62:R65 C62:P66">
    <cfRule type="containsErrors" priority="53" aboveAverage="0" equalAverage="0" bottom="0" percent="0" rank="0" text="" dxfId="51">
      <formula>0</formula>
    </cfRule>
  </conditionalFormatting>
  <conditionalFormatting sqref="C47:R50">
    <cfRule type="containsErrors" priority="54" aboveAverage="0" equalAverage="0" bottom="0" percent="0" rank="0" text="" dxfId="52">
      <formula>0</formula>
    </cfRule>
  </conditionalFormatting>
  <conditionalFormatting sqref="Q52:R55 C52:P56">
    <cfRule type="containsErrors" priority="55" aboveAverage="0" equalAverage="0" bottom="0" percent="0" rank="0" text="" dxfId="53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75" zeroHeight="false" outlineLevelRow="0" outlineLevelCol="0"/>
  <cols>
    <col collapsed="false" customWidth="true" hidden="false" outlineLevel="0" max="1" min="1" style="133" width="11.29"/>
    <col collapsed="false" customWidth="true" hidden="false" outlineLevel="0" max="2" min="2" style="0" width="14.01"/>
    <col collapsed="false" customWidth="true" hidden="false" outlineLevel="0" max="1025" min="3" style="0" width="8.71"/>
  </cols>
  <sheetData>
    <row r="1" customFormat="false" ht="12.75" hidden="false" customHeight="false" outlineLevel="0" collapsed="false">
      <c r="A1" s="134" t="s">
        <v>195</v>
      </c>
    </row>
    <row r="3" customFormat="false" ht="12.75" hidden="false" customHeight="false" outlineLevel="0" collapsed="false">
      <c r="A3" s="133" t="s">
        <v>196</v>
      </c>
    </row>
    <row r="4" customFormat="false" ht="12.75" hidden="false" customHeight="false" outlineLevel="0" collapsed="false">
      <c r="A4" s="135" t="n">
        <v>80</v>
      </c>
    </row>
    <row r="5" customFormat="false" ht="12.75" hidden="false" customHeight="false" outlineLevel="0" collapsed="false">
      <c r="A5" s="133" t="s">
        <v>197</v>
      </c>
    </row>
    <row r="6" customFormat="false" ht="12.75" hidden="false" customHeight="false" outlineLevel="0" collapsed="false">
      <c r="A6" s="136" t="n">
        <f aca="false">A4*1000/3600</f>
        <v>22.2222222222222</v>
      </c>
    </row>
    <row r="8" customFormat="false" ht="12.75" hidden="false" customHeight="false" outlineLevel="0" collapsed="false">
      <c r="A8" s="133" t="s">
        <v>198</v>
      </c>
      <c r="B8" s="8" t="s">
        <v>102</v>
      </c>
    </row>
    <row r="9" customFormat="false" ht="12.75" hidden="false" customHeight="false" outlineLevel="0" collapsed="false">
      <c r="A9" s="133" t="n">
        <v>3</v>
      </c>
      <c r="B9" s="133" t="n">
        <f aca="false">A9*1000/$A$6</f>
        <v>135</v>
      </c>
      <c r="D9" s="137"/>
    </row>
    <row r="10" customFormat="false" ht="12.75" hidden="false" customHeight="false" outlineLevel="0" collapsed="false">
      <c r="A10" s="133" t="n">
        <v>5</v>
      </c>
      <c r="B10" s="133" t="n">
        <f aca="false">A10*1000/$A$6</f>
        <v>225</v>
      </c>
      <c r="D10" s="137"/>
    </row>
    <row r="11" customFormat="false" ht="12.75" hidden="false" customHeight="false" outlineLevel="0" collapsed="false">
      <c r="A11" s="133" t="n">
        <v>10</v>
      </c>
      <c r="B11" s="133" t="n">
        <f aca="false">A11*1000/$A$6</f>
        <v>450</v>
      </c>
      <c r="D11" s="137"/>
    </row>
    <row r="12" customFormat="false" ht="12.75" hidden="false" customHeight="false" outlineLevel="0" collapsed="false">
      <c r="A12" s="133" t="n">
        <v>15</v>
      </c>
      <c r="B12" s="133" t="n">
        <f aca="false">A12*1000/$A$6</f>
        <v>675</v>
      </c>
      <c r="D12" s="137"/>
    </row>
    <row r="13" customFormat="false" ht="12.75" hidden="false" customHeight="false" outlineLevel="0" collapsed="false">
      <c r="A13" s="133" t="n">
        <v>50</v>
      </c>
      <c r="B13" s="133" t="n">
        <f aca="false">A13*1000/$A$6</f>
        <v>2250</v>
      </c>
      <c r="D13" s="137"/>
    </row>
    <row r="14" customFormat="false" ht="12.75" hidden="false" customHeight="false" outlineLevel="0" collapsed="false">
      <c r="A14" s="133" t="n">
        <v>75</v>
      </c>
      <c r="B14" s="133" t="n">
        <f aca="false">A14*1000/$A$6</f>
        <v>3375</v>
      </c>
      <c r="D14" s="137"/>
    </row>
    <row r="15" customFormat="false" ht="12.75" hidden="false" customHeight="false" outlineLevel="0" collapsed="false">
      <c r="A15" s="133" t="n">
        <v>100</v>
      </c>
      <c r="B15" s="133" t="n">
        <f aca="false">A15*1000/$A$6</f>
        <v>4500</v>
      </c>
      <c r="D15" s="137"/>
    </row>
    <row r="16" customFormat="false" ht="12.75" hidden="false" customHeight="false" outlineLevel="0" collapsed="false">
      <c r="A16" s="133" t="n">
        <v>150</v>
      </c>
      <c r="B16" s="133" t="n">
        <f aca="false">A16*1000/$A$6</f>
        <v>6750</v>
      </c>
      <c r="D16" s="137"/>
    </row>
    <row r="17" customFormat="false" ht="12.75" hidden="false" customHeight="false" outlineLevel="0" collapsed="false">
      <c r="A17" s="133" t="n">
        <v>180</v>
      </c>
      <c r="B17" s="133" t="n">
        <f aca="false">A17*1000/$A$6</f>
        <v>8100</v>
      </c>
      <c r="D17" s="137"/>
    </row>
    <row r="20" customFormat="false" ht="12.75" hidden="false" customHeight="false" outlineLevel="0" collapsed="false">
      <c r="A20" s="135" t="s">
        <v>199</v>
      </c>
      <c r="B20" s="25" t="n">
        <v>5000</v>
      </c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LibreOffice/6.0.4.2$Windows_X86_64 LibreOffice_project/9b0d9b32d5dcda91d2f1a96dc04c645c450872bf</Application>
  <Company>NSW Roads &amp; Traffic Authority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2018-06-30T21:57:23Z</dcterms:created>
  <dc:creator/>
  <dc:description/>
  <dc:language>en-AU</dc:language>
  <cp:lastModifiedBy/>
  <dcterms:modified xsi:type="dcterms:W3CDTF">2018-06-30T21:57:24Z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mpany">
    <vt:lpwstr>NSW Roads &amp; Traffic Authority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  <property fmtid="{D5CDD505-2E9C-101B-9397-08002B2CF9AE}" pid="9" name="_AdHocReviewCycleID">
    <vt:i4>1101866075</vt:i4>
  </property>
  <property fmtid="{D5CDD505-2E9C-101B-9397-08002B2CF9AE}" pid="10" name="_AuthorEmail">
    <vt:lpwstr>Neale.IRONS@rms.nsw.gov.au</vt:lpwstr>
  </property>
  <property fmtid="{D5CDD505-2E9C-101B-9397-08002B2CF9AE}" pid="11" name="_AuthorEmailDisplayName">
    <vt:lpwstr>IRONS Neale M</vt:lpwstr>
  </property>
  <property fmtid="{D5CDD505-2E9C-101B-9397-08002B2CF9AE}" pid="12" name="_EmailSubject">
    <vt:lpwstr>Trarr Files</vt:lpwstr>
  </property>
  <property fmtid="{D5CDD505-2E9C-101B-9397-08002B2CF9AE}" pid="13" name="_NewReviewCycle">
    <vt:lpwstr/>
  </property>
  <property fmtid="{D5CDD505-2E9C-101B-9397-08002B2CF9AE}" pid="14" name="_PreviousAdHocReviewCycleID">
    <vt:i4>-1176586839</vt:i4>
  </property>
  <property fmtid="{D5CDD505-2E9C-101B-9397-08002B2CF9AE}" pid="15" name="_ReviewingToolsShownOnce">
    <vt:lpwstr/>
  </property>
</Properties>
</file>